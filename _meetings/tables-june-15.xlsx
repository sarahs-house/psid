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arsul/Library/CloudStorage/Dropbox-UniversityofMichigan/Sarah Sullivan/SARAH-SOFT/research/psid/_meetings/"/>
    </mc:Choice>
  </mc:AlternateContent>
  <xr:revisionPtr revIDLastSave="0" documentId="8_{D2D7C780-83BB-7B46-AB95-9C9833389ED8}" xr6:coauthVersionLast="47" xr6:coauthVersionMax="47" xr10:uidLastSave="{00000000-0000-0000-0000-000000000000}"/>
  <bookViews>
    <workbookView xWindow="0" yWindow="660" windowWidth="30240" windowHeight="18980" activeTab="2" xr2:uid="{C5F9BE3B-D443-E045-8535-8CCDB906B8D2}"/>
  </bookViews>
  <sheets>
    <sheet name="table1" sheetId="1" r:id="rId1"/>
    <sheet name="table2" sheetId="2" r:id="rId2"/>
    <sheet name="table4" sheetId="4" r:id="rId3"/>
    <sheet name="table3"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43" i="3" l="1"/>
  <c r="Q44" i="3"/>
  <c r="Q45" i="3"/>
  <c r="Q46" i="3"/>
  <c r="Q42" i="3"/>
  <c r="Q21" i="3"/>
  <c r="Q20" i="3"/>
  <c r="Q19" i="3"/>
  <c r="Q18" i="3"/>
  <c r="Q22" i="3"/>
  <c r="X47" i="3"/>
  <c r="V47" i="3"/>
  <c r="T47" i="3"/>
  <c r="R47" i="3"/>
  <c r="P47" i="3"/>
  <c r="N47" i="3"/>
  <c r="L47" i="3"/>
  <c r="J47" i="3"/>
  <c r="H47" i="3"/>
  <c r="F47" i="3"/>
  <c r="G46" i="3" s="1"/>
  <c r="Y46" i="3"/>
  <c r="W46" i="3"/>
  <c r="U46" i="3"/>
  <c r="O46" i="3"/>
  <c r="M46" i="3"/>
  <c r="K46" i="3"/>
  <c r="I46" i="3"/>
  <c r="Y45" i="3"/>
  <c r="W45" i="3"/>
  <c r="U45" i="3"/>
  <c r="O45" i="3"/>
  <c r="M45" i="3"/>
  <c r="K45" i="3"/>
  <c r="I45" i="3"/>
  <c r="G45" i="3"/>
  <c r="Y44" i="3"/>
  <c r="W44" i="3"/>
  <c r="U44" i="3"/>
  <c r="O44" i="3"/>
  <c r="M44" i="3"/>
  <c r="K44" i="3"/>
  <c r="I44" i="3"/>
  <c r="Y43" i="3"/>
  <c r="W43" i="3"/>
  <c r="U43" i="3"/>
  <c r="O43" i="3"/>
  <c r="M43" i="3"/>
  <c r="K43" i="3"/>
  <c r="I43" i="3"/>
  <c r="Y42" i="3"/>
  <c r="W42" i="3"/>
  <c r="U42" i="3"/>
  <c r="S42" i="3" a="1"/>
  <c r="S42" i="3" s="1"/>
  <c r="S47" i="3" s="1"/>
  <c r="O42" i="3"/>
  <c r="M42" i="3"/>
  <c r="K42" i="3"/>
  <c r="I42" i="3"/>
  <c r="P23" i="3"/>
  <c r="M12" i="2"/>
  <c r="F10" i="4"/>
  <c r="M8" i="2"/>
  <c r="M29" i="2"/>
  <c r="Y19" i="3"/>
  <c r="Y20" i="3"/>
  <c r="Y21" i="3"/>
  <c r="Y22" i="3"/>
  <c r="Y18" i="3"/>
  <c r="W19" i="3"/>
  <c r="W20" i="3"/>
  <c r="W21" i="3"/>
  <c r="W22" i="3"/>
  <c r="W18" i="3"/>
  <c r="U19" i="3"/>
  <c r="U20" i="3"/>
  <c r="U21" i="3"/>
  <c r="U22" i="3"/>
  <c r="U18" i="3"/>
  <c r="S18" i="3" a="1"/>
  <c r="S18" i="3" s="1"/>
  <c r="S23" i="3" s="1"/>
  <c r="O19" i="3"/>
  <c r="O20" i="3"/>
  <c r="O21" i="3"/>
  <c r="O22" i="3"/>
  <c r="O18" i="3"/>
  <c r="O23" i="3" s="1"/>
  <c r="M19" i="3"/>
  <c r="M20" i="3"/>
  <c r="M21" i="3"/>
  <c r="M22" i="3"/>
  <c r="M18" i="3"/>
  <c r="K20" i="3"/>
  <c r="K21" i="3"/>
  <c r="K22" i="3"/>
  <c r="K19" i="3"/>
  <c r="K18" i="3"/>
  <c r="K23" i="3" s="1"/>
  <c r="I19" i="3"/>
  <c r="I20" i="3"/>
  <c r="I21" i="3"/>
  <c r="I22" i="3"/>
  <c r="I18" i="3"/>
  <c r="F23" i="3"/>
  <c r="G22" i="3" s="1"/>
  <c r="X23" i="3"/>
  <c r="V23" i="3"/>
  <c r="T23" i="3"/>
  <c r="R23" i="3"/>
  <c r="N23" i="3"/>
  <c r="L23" i="3"/>
  <c r="J23" i="3"/>
  <c r="H23" i="3"/>
  <c r="J46" i="4"/>
  <c r="N24" i="4"/>
  <c r="N23" i="4"/>
  <c r="N22" i="4"/>
  <c r="N21" i="4"/>
  <c r="N20" i="4"/>
  <c r="N19" i="4"/>
  <c r="N18" i="4"/>
  <c r="N17" i="4"/>
  <c r="N16" i="4"/>
  <c r="N15" i="4"/>
  <c r="N14" i="4"/>
  <c r="N12" i="4"/>
  <c r="N11" i="4"/>
  <c r="N10" i="4"/>
  <c r="L24" i="4"/>
  <c r="L23" i="4"/>
  <c r="L22" i="4"/>
  <c r="L21" i="4"/>
  <c r="L20" i="4"/>
  <c r="L19" i="4"/>
  <c r="L18" i="4"/>
  <c r="L17" i="4"/>
  <c r="L16" i="4"/>
  <c r="L15" i="4"/>
  <c r="L14" i="4"/>
  <c r="L12" i="4"/>
  <c r="L11" i="4"/>
  <c r="L10" i="4"/>
  <c r="J24" i="4"/>
  <c r="J23" i="4"/>
  <c r="J22" i="4"/>
  <c r="J21" i="4"/>
  <c r="J20" i="4"/>
  <c r="J19" i="4"/>
  <c r="J18" i="4"/>
  <c r="J17" i="4"/>
  <c r="J16" i="4"/>
  <c r="J15" i="4"/>
  <c r="J14" i="4"/>
  <c r="J12" i="4"/>
  <c r="J11" i="4"/>
  <c r="J10" i="4"/>
  <c r="H24" i="4"/>
  <c r="H23" i="4"/>
  <c r="H22" i="4"/>
  <c r="H21" i="4"/>
  <c r="H20" i="4"/>
  <c r="H19" i="4"/>
  <c r="H18" i="4"/>
  <c r="H17" i="4"/>
  <c r="H16" i="4"/>
  <c r="H15" i="4"/>
  <c r="H14" i="4"/>
  <c r="H12" i="4"/>
  <c r="H11" i="4"/>
  <c r="H10" i="4"/>
  <c r="F24" i="4"/>
  <c r="F23" i="4"/>
  <c r="F22" i="4"/>
  <c r="F21" i="4"/>
  <c r="F20" i="4"/>
  <c r="F19" i="4"/>
  <c r="F18" i="4"/>
  <c r="F17" i="4"/>
  <c r="F16" i="4"/>
  <c r="F15" i="4"/>
  <c r="F14" i="4"/>
  <c r="F12" i="4"/>
  <c r="F11" i="4"/>
  <c r="M22" i="2"/>
  <c r="M21" i="2"/>
  <c r="M20" i="2"/>
  <c r="M19" i="2"/>
  <c r="M18" i="2"/>
  <c r="M17" i="2"/>
  <c r="M16" i="2"/>
  <c r="M15" i="2"/>
  <c r="M14" i="2"/>
  <c r="M13" i="2"/>
  <c r="M10" i="2"/>
  <c r="M9" i="2"/>
  <c r="O22" i="2"/>
  <c r="O21" i="2"/>
  <c r="O20" i="2"/>
  <c r="O19" i="2"/>
  <c r="O18" i="2"/>
  <c r="O17" i="2"/>
  <c r="O16" i="2"/>
  <c r="O15" i="2"/>
  <c r="O14" i="2"/>
  <c r="O13" i="2"/>
  <c r="O12" i="2"/>
  <c r="O10" i="2"/>
  <c r="O9" i="2"/>
  <c r="O8" i="2"/>
  <c r="N58" i="4"/>
  <c r="N57" i="4"/>
  <c r="N56" i="4"/>
  <c r="N55" i="4"/>
  <c r="N54" i="4"/>
  <c r="N53" i="4"/>
  <c r="N52" i="4"/>
  <c r="N51" i="4"/>
  <c r="N50" i="4"/>
  <c r="N49" i="4"/>
  <c r="N48" i="4"/>
  <c r="N46" i="4"/>
  <c r="N45" i="4"/>
  <c r="N44" i="4"/>
  <c r="L58" i="4"/>
  <c r="L57" i="4"/>
  <c r="L56" i="4"/>
  <c r="L55" i="4"/>
  <c r="L54" i="4"/>
  <c r="L53" i="4"/>
  <c r="L52" i="4"/>
  <c r="L51" i="4"/>
  <c r="L50" i="4"/>
  <c r="L49" i="4"/>
  <c r="L48" i="4"/>
  <c r="L46" i="4"/>
  <c r="L45" i="4"/>
  <c r="L44" i="4"/>
  <c r="J58" i="4"/>
  <c r="J57" i="4"/>
  <c r="J56" i="4"/>
  <c r="J55" i="4"/>
  <c r="J54" i="4"/>
  <c r="J53" i="4"/>
  <c r="J52" i="4"/>
  <c r="J51" i="4"/>
  <c r="J50" i="4"/>
  <c r="J49" i="4"/>
  <c r="J48" i="4"/>
  <c r="J45" i="4"/>
  <c r="J44" i="4"/>
  <c r="H58" i="4"/>
  <c r="H57" i="4"/>
  <c r="H56" i="4"/>
  <c r="H55" i="4"/>
  <c r="H54" i="4"/>
  <c r="H53" i="4"/>
  <c r="H52" i="4"/>
  <c r="H51" i="4"/>
  <c r="H50" i="4"/>
  <c r="H49" i="4"/>
  <c r="H48" i="4"/>
  <c r="H46" i="4"/>
  <c r="H45" i="4"/>
  <c r="H44" i="4"/>
  <c r="F58" i="4"/>
  <c r="F57" i="4"/>
  <c r="F56" i="4"/>
  <c r="F55" i="4"/>
  <c r="F54" i="4"/>
  <c r="F53" i="4"/>
  <c r="F52" i="4"/>
  <c r="F51" i="4"/>
  <c r="F50" i="4"/>
  <c r="F49" i="4"/>
  <c r="F48" i="4"/>
  <c r="F46" i="4"/>
  <c r="F45" i="4"/>
  <c r="F44" i="4"/>
  <c r="F41" i="4"/>
  <c r="F40" i="4"/>
  <c r="F39" i="4"/>
  <c r="F38" i="4"/>
  <c r="F37" i="4"/>
  <c r="F36" i="4"/>
  <c r="F35" i="4"/>
  <c r="F34" i="4"/>
  <c r="F33" i="4"/>
  <c r="F32" i="4"/>
  <c r="F31" i="4"/>
  <c r="F30" i="4"/>
  <c r="F29" i="4"/>
  <c r="F28" i="4"/>
  <c r="F27" i="4"/>
  <c r="H41" i="4"/>
  <c r="H40" i="4"/>
  <c r="H39" i="4"/>
  <c r="H38" i="4"/>
  <c r="H37" i="4"/>
  <c r="H36" i="4"/>
  <c r="H35" i="4"/>
  <c r="H34" i="4"/>
  <c r="H33" i="4"/>
  <c r="H32" i="4"/>
  <c r="H31" i="4"/>
  <c r="H29" i="4"/>
  <c r="H28" i="4"/>
  <c r="H27" i="4"/>
  <c r="J41" i="4"/>
  <c r="J40" i="4"/>
  <c r="J39" i="4"/>
  <c r="J38" i="4"/>
  <c r="J37" i="4"/>
  <c r="J36" i="4"/>
  <c r="J35" i="4"/>
  <c r="J34" i="4"/>
  <c r="J33" i="4"/>
  <c r="J32" i="4"/>
  <c r="J31" i="4"/>
  <c r="J29" i="4"/>
  <c r="J28" i="4"/>
  <c r="J27" i="4"/>
  <c r="L41" i="4"/>
  <c r="L40" i="4"/>
  <c r="L39" i="4"/>
  <c r="L38" i="4"/>
  <c r="L37" i="4"/>
  <c r="L36" i="4"/>
  <c r="L35" i="4"/>
  <c r="L34" i="4"/>
  <c r="L33" i="4"/>
  <c r="L32" i="4"/>
  <c r="L31" i="4"/>
  <c r="L29" i="4"/>
  <c r="L28" i="4"/>
  <c r="L27" i="4"/>
  <c r="N41" i="4"/>
  <c r="N40" i="4"/>
  <c r="N39" i="4"/>
  <c r="N38" i="4"/>
  <c r="N37" i="4"/>
  <c r="N36" i="4"/>
  <c r="N35" i="4"/>
  <c r="N34" i="4"/>
  <c r="N33" i="4"/>
  <c r="N32" i="4"/>
  <c r="N31" i="4"/>
  <c r="N29" i="4"/>
  <c r="N28" i="4"/>
  <c r="N27" i="4"/>
  <c r="O56" i="2"/>
  <c r="O55" i="2"/>
  <c r="O54" i="2"/>
  <c r="O53" i="2"/>
  <c r="O52" i="2"/>
  <c r="O51" i="2"/>
  <c r="O50" i="2"/>
  <c r="O49" i="2"/>
  <c r="O48" i="2"/>
  <c r="O47" i="2"/>
  <c r="O46" i="2"/>
  <c r="O44" i="2"/>
  <c r="O43" i="2"/>
  <c r="O42" i="2"/>
  <c r="M56" i="2"/>
  <c r="M55" i="2"/>
  <c r="M54" i="2"/>
  <c r="M53" i="2"/>
  <c r="M52" i="2"/>
  <c r="M51" i="2"/>
  <c r="M50" i="2"/>
  <c r="M49" i="2"/>
  <c r="M48" i="2"/>
  <c r="M47" i="2"/>
  <c r="M46" i="2"/>
  <c r="M44" i="2"/>
  <c r="M43" i="2"/>
  <c r="M42" i="2"/>
  <c r="O39" i="2"/>
  <c r="O38" i="2"/>
  <c r="O37" i="2"/>
  <c r="O36" i="2"/>
  <c r="O35" i="2"/>
  <c r="O34" i="2"/>
  <c r="O33" i="2"/>
  <c r="O32" i="2"/>
  <c r="O31" i="2"/>
  <c r="O30" i="2"/>
  <c r="O29" i="2"/>
  <c r="O27" i="2"/>
  <c r="O26" i="2"/>
  <c r="O25" i="2"/>
  <c r="H39" i="2"/>
  <c r="H38" i="2"/>
  <c r="H37" i="2"/>
  <c r="H36" i="2"/>
  <c r="H35" i="2"/>
  <c r="H34" i="2"/>
  <c r="H33" i="2"/>
  <c r="H32" i="2"/>
  <c r="H31" i="2"/>
  <c r="H30" i="2"/>
  <c r="H29" i="2"/>
  <c r="H27" i="2"/>
  <c r="H26" i="2"/>
  <c r="M39" i="2"/>
  <c r="M38" i="2"/>
  <c r="M37" i="2"/>
  <c r="M36" i="2"/>
  <c r="M35" i="2"/>
  <c r="M34" i="2"/>
  <c r="M33" i="2"/>
  <c r="M32" i="2"/>
  <c r="M31" i="2"/>
  <c r="M30" i="2"/>
  <c r="M27" i="2"/>
  <c r="M26" i="2"/>
  <c r="M25" i="2"/>
  <c r="F39" i="2"/>
  <c r="F38" i="2"/>
  <c r="F37" i="2"/>
  <c r="F36" i="2"/>
  <c r="F35" i="2"/>
  <c r="F34" i="2"/>
  <c r="F33" i="2"/>
  <c r="F32" i="2"/>
  <c r="F31" i="2"/>
  <c r="F30" i="2"/>
  <c r="F27" i="2"/>
  <c r="F26" i="2"/>
  <c r="F25" i="2"/>
  <c r="Q24" i="1"/>
  <c r="Q19" i="1"/>
  <c r="D12" i="1"/>
  <c r="F13" i="1"/>
  <c r="D13" i="1"/>
  <c r="H35" i="1"/>
  <c r="F35" i="1"/>
  <c r="H34" i="1"/>
  <c r="F34" i="1"/>
  <c r="D34" i="1"/>
  <c r="H33" i="1"/>
  <c r="F33" i="1"/>
  <c r="D33" i="1"/>
  <c r="H32" i="1"/>
  <c r="F32" i="1"/>
  <c r="D32" i="1"/>
  <c r="H31" i="1"/>
  <c r="F31" i="1"/>
  <c r="D31" i="1"/>
  <c r="H30" i="1"/>
  <c r="F30" i="1"/>
  <c r="D30" i="1"/>
  <c r="H29" i="1"/>
  <c r="F29" i="1"/>
  <c r="D29" i="1"/>
  <c r="H24" i="1"/>
  <c r="F24" i="1"/>
  <c r="D24" i="1"/>
  <c r="H23" i="1"/>
  <c r="F23" i="1"/>
  <c r="D23" i="1"/>
  <c r="H22" i="1"/>
  <c r="F22" i="1"/>
  <c r="D22" i="1"/>
  <c r="H19" i="1"/>
  <c r="F19" i="1"/>
  <c r="D19" i="1"/>
  <c r="H18" i="1"/>
  <c r="F18" i="1"/>
  <c r="D18" i="1"/>
  <c r="H17" i="1"/>
  <c r="F17" i="1"/>
  <c r="D17" i="1"/>
  <c r="H16" i="1"/>
  <c r="F16" i="1"/>
  <c r="D16" i="1"/>
  <c r="H15" i="1"/>
  <c r="F15" i="1"/>
  <c r="D15" i="1"/>
  <c r="H12" i="1"/>
  <c r="F12" i="1"/>
  <c r="H11" i="1"/>
  <c r="F11" i="1"/>
  <c r="D11" i="1"/>
  <c r="Q35" i="1"/>
  <c r="Q34" i="1"/>
  <c r="Q33" i="1"/>
  <c r="Q32" i="1"/>
  <c r="Q31" i="1"/>
  <c r="Q30" i="1"/>
  <c r="Q29" i="1"/>
  <c r="Q23" i="1"/>
  <c r="Q22" i="1"/>
  <c r="Q12" i="1"/>
  <c r="Q11" i="1"/>
  <c r="Q18" i="1"/>
  <c r="Q17" i="1"/>
  <c r="Q16" i="1"/>
  <c r="Q15" i="1"/>
  <c r="O35" i="1"/>
  <c r="O34" i="1"/>
  <c r="O33" i="1"/>
  <c r="O32" i="1"/>
  <c r="O31" i="1"/>
  <c r="O30" i="1"/>
  <c r="O29" i="1"/>
  <c r="O24" i="1"/>
  <c r="O23" i="1"/>
  <c r="O22" i="1"/>
  <c r="O19" i="1"/>
  <c r="O18" i="1"/>
  <c r="O17" i="1"/>
  <c r="O16" i="1"/>
  <c r="O15" i="1"/>
  <c r="O12" i="1"/>
  <c r="O11" i="1"/>
  <c r="M34" i="1"/>
  <c r="M33" i="1"/>
  <c r="M32" i="1"/>
  <c r="M31" i="1"/>
  <c r="M30" i="1"/>
  <c r="M29" i="1"/>
  <c r="M24" i="1"/>
  <c r="M23" i="1"/>
  <c r="M22" i="1"/>
  <c r="M19" i="1"/>
  <c r="M18" i="1"/>
  <c r="M17" i="1"/>
  <c r="M16" i="1"/>
  <c r="M15" i="1"/>
  <c r="M12" i="1"/>
  <c r="M11" i="1"/>
  <c r="I23" i="3" l="1"/>
  <c r="U23" i="3"/>
  <c r="W23" i="3"/>
  <c r="Y23" i="3"/>
  <c r="Q23" i="3"/>
  <c r="M23" i="3"/>
  <c r="M47" i="3"/>
  <c r="U47" i="3"/>
  <c r="Q47" i="3"/>
  <c r="G44" i="3"/>
  <c r="G18" i="3"/>
  <c r="K47" i="3"/>
  <c r="G19" i="3"/>
  <c r="W47" i="3"/>
  <c r="I47" i="3"/>
  <c r="O47" i="3"/>
  <c r="G21" i="3"/>
  <c r="Y47" i="3"/>
  <c r="G20" i="3"/>
  <c r="G42" i="3"/>
  <c r="G43" i="3"/>
  <c r="G23" i="3" l="1"/>
  <c r="G47"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<sst xmlns="http://schemas.openxmlformats.org/spreadsheetml/2006/main" count="373" uniqueCount="81">
  <si>
    <t>Total</t>
  </si>
  <si>
    <t>Sex</t>
  </si>
  <si>
    <t>Male</t>
  </si>
  <si>
    <t>Female</t>
  </si>
  <si>
    <t>RP Race</t>
  </si>
  <si>
    <t>White</t>
  </si>
  <si>
    <t>Black</t>
  </si>
  <si>
    <t>Hispanic</t>
  </si>
  <si>
    <t>Other</t>
  </si>
  <si>
    <t>Unknown</t>
  </si>
  <si>
    <t>RP Education</t>
  </si>
  <si>
    <t>&lt; College</t>
  </si>
  <si>
    <t xml:space="preserve">College + </t>
  </si>
  <si>
    <t>Birth Year</t>
  </si>
  <si>
    <t>Birth Cohort</t>
  </si>
  <si>
    <t>&lt; 1967</t>
  </si>
  <si>
    <t>1967-1976</t>
  </si>
  <si>
    <t>1977-1986</t>
  </si>
  <si>
    <t>1987-1996</t>
  </si>
  <si>
    <t>1997-2006</t>
  </si>
  <si>
    <t>Sample A</t>
  </si>
  <si>
    <t>Sample B</t>
  </si>
  <si>
    <t>Sample N (Total)</t>
  </si>
  <si>
    <r>
      <rPr>
        <b/>
        <sz val="12"/>
        <color theme="1"/>
        <rFont val="Aptos Narrow"/>
        <scheme val="minor"/>
      </rPr>
      <t>Note</t>
    </r>
    <r>
      <rPr>
        <sz val="12"/>
        <color theme="1"/>
        <rFont val="Aptos Narrow"/>
        <family val="2"/>
        <scheme val="minor"/>
      </rPr>
      <t xml:space="preserve">: Sample A is all individuals observed from age 0 to age 17 in the PSID. Sample B is all individuals observed for two or more survey waves between age 0 and age 17, with survey waves conducted annually from 1968-1997 and biennially from 1997-2023. "RP Race" is race of reference person (formerly head) at child's first observation in data. "RP Education" is education of reference person at child's first observation in the data. Birth year is highest birth year for an individual ever reported by survey respondent. Sex is last recorded sex of individual, reported by survey respondent. Total is all individuals observed in the PSID for any number of waves before age 18. </t>
    </r>
  </si>
  <si>
    <r>
      <rPr>
        <b/>
        <sz val="12"/>
        <color theme="1"/>
        <rFont val="Aptos Narrow"/>
        <scheme val="minor"/>
      </rPr>
      <t>Data</t>
    </r>
    <r>
      <rPr>
        <sz val="12"/>
        <color theme="1"/>
        <rFont val="Aptos Narrow"/>
        <family val="2"/>
        <scheme val="minor"/>
      </rPr>
      <t>: Panel Study of Income Dynamics, public use dataset. Produced and distributed by the Survey Research Center, Institute for Social Research, University of Michigan, Ann Arbor, MI (2026).</t>
    </r>
  </si>
  <si>
    <t>N</t>
  </si>
  <si>
    <t>%</t>
  </si>
  <si>
    <t>mean</t>
  </si>
  <si>
    <t>(min, max)</t>
  </si>
  <si>
    <t>Any Adult Change</t>
  </si>
  <si>
    <t>All</t>
  </si>
  <si>
    <t>Parent</t>
  </si>
  <si>
    <t>Grandparent</t>
  </si>
  <si>
    <t>Aunt/Uncle</t>
  </si>
  <si>
    <t>Any Adult In</t>
  </si>
  <si>
    <t>(%)</t>
  </si>
  <si>
    <t>Great-grandparent</t>
  </si>
  <si>
    <t>Sibling</t>
  </si>
  <si>
    <t>Cousin</t>
  </si>
  <si>
    <t>Niece/Nephew</t>
  </si>
  <si>
    <t>Non-relative</t>
  </si>
  <si>
    <t>Spouse/Partner</t>
  </si>
  <si>
    <t>Any Adult Out</t>
  </si>
  <si>
    <t>Any adult change</t>
  </si>
  <si>
    <t>Adult In</t>
  </si>
  <si>
    <t>Adult Out</t>
  </si>
  <si>
    <t>2007-2017</t>
  </si>
  <si>
    <t>2017-</t>
  </si>
  <si>
    <t>(1952, 2022)</t>
  </si>
  <si>
    <t>(1967, 2007)</t>
  </si>
  <si>
    <t>(1951, 2022)</t>
  </si>
  <si>
    <t>Table 2: Sample Household Structure Changes - Weighted</t>
  </si>
  <si>
    <t>Table 1: Descriptive Statistics of PSID Children - Unweighted</t>
  </si>
  <si>
    <t>NA</t>
  </si>
  <si>
    <t>Population</t>
  </si>
  <si>
    <t>Total - Weightable</t>
  </si>
  <si>
    <t xml:space="preserve">Total Total </t>
  </si>
  <si>
    <t xml:space="preserve">Table 1: Descriptive Statistics of PSID Children - Weighted Version </t>
  </si>
  <si>
    <t>Table 2: Sample Household Structure Adult Changes - Unweighted</t>
  </si>
  <si>
    <t>Other Relative</t>
  </si>
  <si>
    <t>Any Adult</t>
  </si>
  <si>
    <t>Generation above</t>
  </si>
  <si>
    <t>Generation above (lean)</t>
  </si>
  <si>
    <r>
      <rPr>
        <b/>
        <sz val="12"/>
        <color theme="1"/>
        <rFont val="Aptos Narrow"/>
        <scheme val="minor"/>
      </rPr>
      <t>Note</t>
    </r>
    <r>
      <rPr>
        <sz val="12"/>
        <color theme="1"/>
        <rFont val="Aptos Narrow"/>
        <family val="2"/>
        <scheme val="minor"/>
      </rPr>
      <t>: Generation above refers to any adult changes consisting of parents, (great) grandparents, aunts, uncles, other relatives, non-relatives, foster relatives, or relatives of unknown relationship.
Generation above (lean) refers to adult changes of parents, (great) grandparents, aunts, or uncles.</t>
    </r>
  </si>
  <si>
    <t>2007-2016</t>
  </si>
  <si>
    <t>Table 4: Sample A Household Structure Changes by Birth Cohort - Weighted</t>
  </si>
  <si>
    <t>Parent, gpar, aunt/uncle</t>
  </si>
  <si>
    <t>Table X. Sample A, Weighted, Adult Changes by Cohort and Type of Change</t>
  </si>
  <si>
    <t>Parent, ggpar, aunt/uncle, unknown, other</t>
  </si>
  <si>
    <t>Parent, ggpar, aunt/uncle</t>
  </si>
  <si>
    <t>* gender of parent</t>
  </si>
  <si>
    <t>* break parent into - biological, step, social</t>
  </si>
  <si>
    <t>* transitions</t>
  </si>
  <si>
    <t>* number of transitions per person, anyone with parental departure/arrival</t>
  </si>
  <si>
    <t>e.g., transitions among kids born to single moms</t>
  </si>
  <si>
    <t xml:space="preserve">* think about birth context </t>
  </si>
  <si>
    <t xml:space="preserve">* host and guest -&gt; harvey </t>
  </si>
  <si>
    <t xml:space="preserve">* grandparent coming effect on host? </t>
  </si>
  <si>
    <t xml:space="preserve">* is grandparent host or guest? </t>
  </si>
  <si>
    <t>* see what other people have done</t>
  </si>
  <si>
    <t>* A+ = weightable sample, A = total; repeat and see what others have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</si>
</sst>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0.0%"/>
  </numFmts>
  <fonts count="6" x14ac:knownFonts="1">
    <font>
      <sz val="12"/>
      <color theme="1"/>
      <name val="Aptos Narrow"/>
      <family val="2"/>
      <scheme val="minor"/>
    </font>
    <font>
      <sz val="12"/>
      <color theme="1"/>
      <name val="Aptos Narrow"/>
      <family val="2"/>
      <scheme val="minor"/>
    </font>
    <font>
      <b/>
      <sz val="12"/>
      <color theme="1"/>
      <name val="Aptos Narrow"/>
      <scheme val="minor"/>
    </font>
    <font>
      <sz val="12"/>
      <color theme="1"/>
      <name val="Aptos Narrow"/>
      <scheme val="minor"/>
    </font>
    <font>
      <sz val="12"/>
      <color rgb="FF000000"/>
      <name val="Aptos Narrow"/>
      <family val="2"/>
      <scheme val="minor"/>
    </font>
    <font>
      <b/>
      <sz val="12"/>
      <color rgb="FF000000"/>
      <name val="Aptos Narrow"/>
      <scheme val="minor"/>
    </font>
  </fonts>
  <fills count="3">
    <fill>
      <patternFill patternType="none"/>
    </fill>
    <fill>
      <patternFill patternType="gray125"/>
    </fill>
    <fill>
      <patternFill patternType="solid">
        <fgColor theme="0" tint="-4.9989318521683403E-2"/>
        <bgColor indexed="64"/>
      </patternFill>
    </fill>
  </fills>
  <borders count="1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right style="thin">
        <color rgb="FF000000"/>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1">
    <xf numFmtId="0" fontId="0" fillId="0" borderId="0" xfId="0"/>
    <xf numFmtId="0" fontId="0" fillId="0" borderId="0" xfId="0" applyAlignment="1">
      <alignment horizontal="center"/>
    </xf>
    <xf numFmtId="0" fontId="0" fillId="0" borderId="0" xfId="0" applyAlignment="1"/>
    <xf numFmtId="0" fontId="0" fillId="0" borderId="1" xfId="0" applyBorder="1"/>
    <xf numFmtId="0" fontId="0" fillId="0" borderId="2" xfId="0" applyBorder="1"/>
    <xf numFmtId="0" fontId="0" fillId="0" borderId="3" xfId="0" applyBorder="1"/>
    <xf numFmtId="0" fontId="0" fillId="0" borderId="0" xfId="0" applyBorder="1"/>
    <xf numFmtId="0" fontId="0" fillId="0" borderId="0" xfId="0" applyBorder="1" applyAlignment="1">
      <alignment horizontal="center"/>
    </xf>
    <xf numFmtId="0" fontId="0" fillId="0" borderId="0" xfId="0" applyAlignment="1">
      <alignment horizontal="center" wrapText="1"/>
    </xf>
    <xf numFmtId="0" fontId="0" fillId="0" borderId="4" xfId="0" applyBorder="1"/>
    <xf numFmtId="0" fontId="0" fillId="0" borderId="5" xfId="0" applyBorder="1"/>
    <xf numFmtId="0" fontId="0" fillId="0" borderId="8" xfId="0" applyBorder="1"/>
    <xf numFmtId="0" fontId="0" fillId="0" borderId="9" xfId="0" applyBorder="1"/>
    <xf numFmtId="0" fontId="0" fillId="0" borderId="7" xfId="0" applyBorder="1"/>
    <xf numFmtId="0" fontId="0" fillId="0" borderId="10"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11"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10" xfId="0" applyBorder="1"/>
    <xf numFmtId="0" fontId="0" fillId="0" borderId="11" xfId="0" applyBorder="1"/>
    <xf numFmtId="0" fontId="0" fillId="0" borderId="6" xfId="0" applyBorder="1"/>
    <xf numFmtId="0" fontId="0" fillId="0" borderId="1" xfId="0" applyBorder="1" applyAlignment="1">
      <alignment horizontal="center"/>
    </xf>
    <xf numFmtId="0" fontId="2" fillId="0" borderId="11" xfId="0" applyFont="1" applyBorder="1" applyAlignment="1">
      <alignment horizontal="center"/>
    </xf>
    <xf numFmtId="0" fontId="2" fillId="0" borderId="6" xfId="0" applyFont="1" applyBorder="1" applyAlignment="1">
      <alignment horizontal="center"/>
    </xf>
    <xf numFmtId="0" fontId="2" fillId="0" borderId="10" xfId="0" applyFont="1" applyBorder="1" applyAlignment="1">
      <alignment horizontal="center"/>
    </xf>
    <xf numFmtId="0" fontId="2" fillId="0" borderId="9" xfId="0" applyFont="1" applyBorder="1"/>
    <xf numFmtId="0" fontId="0" fillId="0" borderId="0" xfId="0" applyAlignment="1">
      <alignment wrapText="1"/>
    </xf>
    <xf numFmtId="0" fontId="0" fillId="0" borderId="0" xfId="0" applyAlignment="1">
      <alignment vertical="top" wrapText="1"/>
    </xf>
    <xf numFmtId="0" fontId="3" fillId="0" borderId="0" xfId="0" applyFont="1" applyAlignment="1">
      <alignment horizontal="center" wrapText="1"/>
    </xf>
    <xf numFmtId="0" fontId="3" fillId="0" borderId="11" xfId="0" applyFont="1" applyBorder="1" applyAlignment="1">
      <alignment horizontal="center" wrapText="1"/>
    </xf>
    <xf numFmtId="0" fontId="3" fillId="0" borderId="0" xfId="0" applyFont="1" applyAlignment="1">
      <alignment horizontal="center" vertical="top" wrapText="1"/>
    </xf>
    <xf numFmtId="3" fontId="0" fillId="0" borderId="9" xfId="0" applyNumberFormat="1" applyBorder="1"/>
    <xf numFmtId="3" fontId="0" fillId="0" borderId="4" xfId="0" applyNumberFormat="1" applyBorder="1"/>
    <xf numFmtId="3" fontId="0" fillId="0" borderId="7" xfId="0" applyNumberFormat="1" applyBorder="1"/>
    <xf numFmtId="3" fontId="0" fillId="0" borderId="8" xfId="0" applyNumberFormat="1" applyBorder="1"/>
    <xf numFmtId="3" fontId="0" fillId="0" borderId="0" xfId="0" applyNumberFormat="1"/>
    <xf numFmtId="3" fontId="0" fillId="0" borderId="2" xfId="0" applyNumberFormat="1" applyBorder="1"/>
    <xf numFmtId="1" fontId="0" fillId="0" borderId="7" xfId="0" applyNumberFormat="1" applyBorder="1"/>
    <xf numFmtId="1" fontId="0" fillId="0" borderId="0" xfId="0" applyNumberFormat="1"/>
    <xf numFmtId="168" fontId="0" fillId="0" borderId="4" xfId="2" applyNumberFormat="1" applyFont="1" applyBorder="1"/>
    <xf numFmtId="168" fontId="0" fillId="0" borderId="0" xfId="2" applyNumberFormat="1" applyFont="1"/>
    <xf numFmtId="168" fontId="0" fillId="0" borderId="0" xfId="2" applyNumberFormat="1" applyFont="1" applyAlignment="1">
      <alignment horizontal="right"/>
    </xf>
    <xf numFmtId="168" fontId="0" fillId="0" borderId="2" xfId="2" applyNumberFormat="1" applyFont="1" applyBorder="1"/>
    <xf numFmtId="168" fontId="0" fillId="0" borderId="5" xfId="2" applyNumberFormat="1" applyFont="1" applyBorder="1"/>
    <xf numFmtId="168" fontId="0" fillId="0" borderId="1" xfId="2" applyNumberFormat="1" applyFont="1" applyBorder="1"/>
    <xf numFmtId="168" fontId="0" fillId="0" borderId="1" xfId="2" applyNumberFormat="1" applyFont="1" applyBorder="1" applyAlignment="1">
      <alignment horizontal="right"/>
    </xf>
    <xf numFmtId="168" fontId="0" fillId="0" borderId="3" xfId="2" applyNumberFormat="1" applyFont="1" applyBorder="1"/>
    <xf numFmtId="0" fontId="2" fillId="0" borderId="7" xfId="0" applyFont="1" applyBorder="1" applyAlignment="1">
      <alignment horizontal="center"/>
    </xf>
    <xf numFmtId="0" fontId="2" fillId="0" borderId="0" xfId="0" applyFont="1" applyBorder="1" applyAlignment="1">
      <alignment horizontal="center"/>
    </xf>
    <xf numFmtId="0" fontId="2" fillId="0" borderId="1" xfId="0" applyFont="1" applyBorder="1" applyAlignment="1">
      <alignment horizontal="center"/>
    </xf>
    <xf numFmtId="0" fontId="2" fillId="0" borderId="7" xfId="0" applyFont="1" applyBorder="1"/>
    <xf numFmtId="168" fontId="0" fillId="0" borderId="0" xfId="2" applyNumberFormat="1" applyFont="1" applyBorder="1"/>
    <xf numFmtId="3" fontId="0" fillId="0" borderId="0" xfId="0" applyNumberFormat="1" applyBorder="1"/>
    <xf numFmtId="0" fontId="2" fillId="0" borderId="10" xfId="0" applyFont="1" applyBorder="1"/>
    <xf numFmtId="3" fontId="0" fillId="0" borderId="10" xfId="0" applyNumberFormat="1" applyBorder="1"/>
    <xf numFmtId="168" fontId="0" fillId="0" borderId="11" xfId="2" applyNumberFormat="1" applyFont="1" applyBorder="1"/>
    <xf numFmtId="3" fontId="0" fillId="0" borderId="11" xfId="0" applyNumberFormat="1" applyBorder="1"/>
    <xf numFmtId="168" fontId="0" fillId="0" borderId="6" xfId="2" applyNumberFormat="1" applyFont="1" applyBorder="1"/>
    <xf numFmtId="0" fontId="2" fillId="0" borderId="0" xfId="0" applyFont="1" applyBorder="1"/>
    <xf numFmtId="0" fontId="2" fillId="0" borderId="8" xfId="0" applyFont="1" applyBorder="1"/>
    <xf numFmtId="0" fontId="4" fillId="0" borderId="0" xfId="0" applyFont="1" applyAlignment="1">
      <alignment horizontal="center"/>
    </xf>
    <xf numFmtId="0" fontId="4" fillId="0" borderId="0" xfId="0" applyFont="1"/>
    <xf numFmtId="0" fontId="4" fillId="0" borderId="7" xfId="0" applyFont="1" applyBorder="1"/>
    <xf numFmtId="0" fontId="4" fillId="0" borderId="1" xfId="0" applyFont="1" applyBorder="1"/>
    <xf numFmtId="0" fontId="4" fillId="0" borderId="8" xfId="0" applyFont="1" applyBorder="1"/>
    <xf numFmtId="0" fontId="4" fillId="0" borderId="3" xfId="0" applyFont="1" applyBorder="1"/>
    <xf numFmtId="0" fontId="4" fillId="0" borderId="2" xfId="0" applyFont="1" applyBorder="1" applyAlignment="1">
      <alignment horizontal="center"/>
    </xf>
    <xf numFmtId="0" fontId="4" fillId="0" borderId="3" xfId="0" applyFont="1" applyBorder="1" applyAlignment="1">
      <alignment horizontal="center"/>
    </xf>
    <xf numFmtId="0" fontId="5" fillId="0" borderId="8" xfId="0" applyFont="1" applyBorder="1"/>
    <xf numFmtId="0" fontId="4" fillId="0" borderId="2" xfId="0" applyFont="1" applyBorder="1"/>
    <xf numFmtId="0" fontId="4" fillId="0" borderId="10"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5" fillId="0" borderId="0" xfId="0" applyFont="1" applyAlignment="1">
      <alignment horizontal="center"/>
    </xf>
    <xf numFmtId="0" fontId="5" fillId="0" borderId="7" xfId="0" applyFont="1" applyBorder="1" applyAlignment="1">
      <alignment horizontal="center"/>
    </xf>
    <xf numFmtId="0" fontId="5" fillId="0" borderId="13" xfId="0" applyFont="1" applyBorder="1" applyAlignment="1">
      <alignment horizontal="center"/>
    </xf>
    <xf numFmtId="0" fontId="0" fillId="0" borderId="0" xfId="0" applyFill="1" applyBorder="1"/>
    <xf numFmtId="168" fontId="0" fillId="0" borderId="0" xfId="2" applyNumberFormat="1" applyFont="1" applyFill="1" applyBorder="1"/>
    <xf numFmtId="10" fontId="0" fillId="0" borderId="0" xfId="0" applyNumberFormat="1" applyBorder="1"/>
    <xf numFmtId="2" fontId="0" fillId="0" borderId="0" xfId="0" applyNumberFormat="1" applyBorder="1"/>
    <xf numFmtId="1" fontId="0" fillId="0" borderId="0" xfId="0" applyNumberFormat="1" applyBorder="1"/>
    <xf numFmtId="1" fontId="0" fillId="0" borderId="0" xfId="0" applyNumberFormat="1" applyFill="1" applyBorder="1"/>
    <xf numFmtId="168" fontId="4" fillId="0" borderId="0" xfId="2" applyNumberFormat="1" applyFont="1"/>
    <xf numFmtId="1" fontId="4" fillId="0" borderId="0" xfId="0" applyNumberFormat="1" applyFont="1"/>
    <xf numFmtId="168" fontId="0" fillId="0" borderId="1" xfId="1" applyNumberFormat="1" applyFont="1" applyBorder="1"/>
    <xf numFmtId="168" fontId="0" fillId="0" borderId="1" xfId="0" applyNumberFormat="1" applyBorder="1"/>
    <xf numFmtId="168" fontId="4" fillId="0" borderId="3" xfId="2" applyNumberFormat="1" applyFont="1" applyBorder="1"/>
    <xf numFmtId="168" fontId="4" fillId="0" borderId="1" xfId="2" applyNumberFormat="1" applyFont="1" applyBorder="1"/>
    <xf numFmtId="168" fontId="4" fillId="0" borderId="2" xfId="2" applyNumberFormat="1" applyFont="1" applyBorder="1"/>
    <xf numFmtId="1" fontId="4" fillId="0" borderId="2" xfId="0" applyNumberFormat="1" applyFont="1" applyBorder="1"/>
    <xf numFmtId="168" fontId="4" fillId="0" borderId="1" xfId="0" applyNumberFormat="1" applyFont="1" applyBorder="1"/>
    <xf numFmtId="168" fontId="0" fillId="0" borderId="0" xfId="0" applyNumberFormat="1"/>
    <xf numFmtId="168" fontId="4" fillId="0" borderId="0" xfId="2" applyNumberFormat="1" applyFont="1" applyBorder="1"/>
    <xf numFmtId="0" fontId="4" fillId="0" borderId="0" xfId="0" applyFont="1" applyBorder="1"/>
    <xf numFmtId="168" fontId="4" fillId="0" borderId="0" xfId="0" applyNumberFormat="1" applyFont="1" applyBorder="1"/>
    <xf numFmtId="0" fontId="4" fillId="0" borderId="9"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5" fillId="0" borderId="0" xfId="0" applyFont="1" applyBorder="1" applyAlignment="1">
      <alignment horizontal="center"/>
    </xf>
    <xf numFmtId="0" fontId="4" fillId="0" borderId="0" xfId="0" applyFont="1" applyBorder="1" applyAlignment="1">
      <alignment horizontal="center"/>
    </xf>
    <xf numFmtId="168" fontId="4" fillId="0" borderId="4" xfId="0" applyNumberFormat="1" applyFont="1" applyBorder="1"/>
    <xf numFmtId="1" fontId="4" fillId="0" borderId="4" xfId="0" applyNumberFormat="1" applyFont="1" applyBorder="1"/>
    <xf numFmtId="2" fontId="0" fillId="0" borderId="4" xfId="0" applyNumberFormat="1" applyBorder="1"/>
    <xf numFmtId="1" fontId="0" fillId="0" borderId="4" xfId="0" applyNumberFormat="1" applyBorder="1"/>
    <xf numFmtId="0" fontId="5" fillId="0" borderId="1" xfId="0" applyFont="1" applyBorder="1" applyAlignment="1">
      <alignment horizontal="center"/>
    </xf>
    <xf numFmtId="168" fontId="0" fillId="0" borderId="0" xfId="0" applyNumberFormat="1" applyBorder="1"/>
    <xf numFmtId="168" fontId="0" fillId="0" borderId="0" xfId="0" applyNumberFormat="1" applyFill="1" applyBorder="1"/>
    <xf numFmtId="168" fontId="0" fillId="0" borderId="2" xfId="0" applyNumberFormat="1" applyBorder="1"/>
    <xf numFmtId="1" fontId="0" fillId="0" borderId="2" xfId="0" applyNumberFormat="1" applyBorder="1"/>
    <xf numFmtId="2" fontId="0" fillId="0" borderId="2" xfId="0" applyNumberFormat="1" applyBorder="1"/>
    <xf numFmtId="0" fontId="2" fillId="0" borderId="0" xfId="0" applyFont="1"/>
    <xf numFmtId="0" fontId="2" fillId="2" borderId="10"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1" xfId="0" applyFont="1" applyFill="1" applyBorder="1" applyAlignment="1">
      <alignment horizontal="center"/>
    </xf>
    <xf numFmtId="0" fontId="0" fillId="2" borderId="9" xfId="0" applyFill="1" applyBorder="1"/>
    <xf numFmtId="168" fontId="0" fillId="2" borderId="5" xfId="0" applyNumberFormat="1" applyFill="1" applyBorder="1"/>
    <xf numFmtId="0" fontId="0" fillId="2" borderId="7" xfId="0" applyFill="1" applyBorder="1"/>
    <xf numFmtId="0" fontId="0" fillId="2" borderId="1" xfId="0" applyFill="1" applyBorder="1"/>
    <xf numFmtId="168" fontId="0" fillId="2" borderId="1" xfId="2" applyNumberFormat="1" applyFont="1" applyFill="1" applyBorder="1"/>
    <xf numFmtId="0" fontId="0" fillId="2" borderId="8" xfId="0" applyFill="1" applyBorder="1"/>
    <xf numFmtId="0" fontId="2" fillId="2" borderId="8" xfId="0" applyFont="1" applyFill="1" applyBorder="1" applyAlignment="1">
      <alignment horizontal="center"/>
    </xf>
    <xf numFmtId="0" fontId="2" fillId="2" borderId="3" xfId="0" applyFont="1" applyFill="1" applyBorder="1" applyAlignment="1">
      <alignment horizontal="center"/>
    </xf>
    <xf numFmtId="2" fontId="0" fillId="0" borderId="3" xfId="0" applyNumberFormat="1" applyBorder="1"/>
    <xf numFmtId="2" fontId="0" fillId="0" borderId="1" xfId="0" applyNumberFormat="1" applyBorder="1"/>
    <xf numFmtId="2" fontId="0" fillId="0" borderId="5" xfId="0" applyNumberFormat="1" applyBorder="1"/>
    <xf numFmtId="0" fontId="0" fillId="2" borderId="0" xfId="0" applyFill="1" applyBorder="1"/>
    <xf numFmtId="168" fontId="0" fillId="2" borderId="0" xfId="0" applyNumberFormat="1" applyFill="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CB90-2F82-BF4B-B6DE-7D2B8C957701}">
  <dimension ref="A2:Y37"/>
  <sheetViews>
    <sheetView zoomScale="75" zoomScaleNormal="109" workbookViewId="0">
      <selection activeCell="N16" sqref="N16"/>
    </sheetView>
  </sheetViews>
  <sheetFormatPr baseColWidth="10" defaultRowHeight="16" x14ac:dyDescent="0.2"/>
  <cols>
    <col min="5" max="5" width="11.6640625" customWidth="1"/>
    <col min="7" max="7" width="11.5" customWidth="1"/>
    <col min="9" max="9" width="11.33203125" customWidth="1"/>
    <col min="11" max="11" width="12" customWidth="1"/>
    <col min="14" max="14" width="11.83203125" customWidth="1"/>
    <col min="16" max="16" width="11.83203125" customWidth="1"/>
    <col min="18" max="18" width="11.6640625" customWidth="1"/>
  </cols>
  <sheetData>
    <row r="2" spans="1:25" x14ac:dyDescent="0.2">
      <c r="A2" s="2"/>
      <c r="B2" s="1" t="s">
        <v>52</v>
      </c>
      <c r="C2" s="1"/>
      <c r="D2" s="1"/>
      <c r="E2" s="1"/>
      <c r="F2" s="1"/>
      <c r="G2" s="1"/>
      <c r="H2" s="1"/>
      <c r="I2" s="1"/>
      <c r="K2" s="1" t="s">
        <v>57</v>
      </c>
      <c r="L2" s="1"/>
      <c r="M2" s="1"/>
      <c r="N2" s="1"/>
      <c r="O2" s="1"/>
      <c r="P2" s="1"/>
      <c r="Q2" s="1"/>
      <c r="R2" s="1"/>
    </row>
    <row r="4" spans="1:25" x14ac:dyDescent="0.2">
      <c r="B4" s="21"/>
      <c r="C4" s="22"/>
      <c r="D4" s="27" t="s">
        <v>20</v>
      </c>
      <c r="E4" s="25"/>
      <c r="F4" s="25" t="s">
        <v>21</v>
      </c>
      <c r="G4" s="26"/>
      <c r="H4" s="27" t="s">
        <v>22</v>
      </c>
      <c r="I4" s="26"/>
      <c r="K4" s="21"/>
      <c r="L4" s="22"/>
      <c r="M4" s="27" t="s">
        <v>20</v>
      </c>
      <c r="N4" s="25"/>
      <c r="O4" s="25" t="s">
        <v>21</v>
      </c>
      <c r="P4" s="26"/>
      <c r="Q4" s="27" t="s">
        <v>22</v>
      </c>
      <c r="R4" s="26"/>
    </row>
    <row r="5" spans="1:25" x14ac:dyDescent="0.2">
      <c r="B5" s="13"/>
      <c r="C5" s="6"/>
      <c r="D5" s="20" t="s">
        <v>25</v>
      </c>
      <c r="E5" s="7" t="s">
        <v>26</v>
      </c>
      <c r="F5" s="7" t="s">
        <v>25</v>
      </c>
      <c r="G5" s="7" t="s">
        <v>26</v>
      </c>
      <c r="H5" s="20" t="s">
        <v>25</v>
      </c>
      <c r="I5" s="24" t="s">
        <v>26</v>
      </c>
      <c r="K5" s="13"/>
      <c r="L5" s="6"/>
      <c r="M5" s="20" t="s">
        <v>25</v>
      </c>
      <c r="N5" s="7" t="s">
        <v>26</v>
      </c>
      <c r="O5" s="7" t="s">
        <v>25</v>
      </c>
      <c r="P5" s="7" t="s">
        <v>26</v>
      </c>
      <c r="Q5" s="20" t="s">
        <v>25</v>
      </c>
      <c r="R5" s="24" t="s">
        <v>26</v>
      </c>
    </row>
    <row r="6" spans="1:25" x14ac:dyDescent="0.2">
      <c r="B6" s="13"/>
      <c r="C6" s="6"/>
      <c r="D6" s="16" t="s">
        <v>27</v>
      </c>
      <c r="E6" s="19" t="s">
        <v>28</v>
      </c>
      <c r="F6" s="19" t="s">
        <v>27</v>
      </c>
      <c r="G6" s="17" t="s">
        <v>28</v>
      </c>
      <c r="H6" s="16" t="s">
        <v>27</v>
      </c>
      <c r="I6" s="17" t="s">
        <v>28</v>
      </c>
      <c r="K6" s="13"/>
      <c r="L6" s="6"/>
      <c r="M6" s="16" t="s">
        <v>27</v>
      </c>
      <c r="N6" s="19" t="s">
        <v>28</v>
      </c>
      <c r="O6" s="19" t="s">
        <v>27</v>
      </c>
      <c r="P6" s="17" t="s">
        <v>28</v>
      </c>
      <c r="Q6" s="16" t="s">
        <v>27</v>
      </c>
      <c r="R6" s="17" t="s">
        <v>28</v>
      </c>
    </row>
    <row r="7" spans="1:25" x14ac:dyDescent="0.2">
      <c r="B7" s="56" t="s">
        <v>0</v>
      </c>
      <c r="C7" s="22"/>
      <c r="D7" s="57">
        <v>8823</v>
      </c>
      <c r="E7" s="58">
        <v>1</v>
      </c>
      <c r="F7" s="59">
        <v>38425</v>
      </c>
      <c r="G7" s="60">
        <v>1</v>
      </c>
      <c r="H7" s="57">
        <v>45045</v>
      </c>
      <c r="I7" s="60">
        <v>1</v>
      </c>
      <c r="K7" s="28" t="s">
        <v>55</v>
      </c>
      <c r="L7" s="9"/>
      <c r="M7" s="34">
        <v>8754</v>
      </c>
      <c r="N7" s="42"/>
      <c r="O7" s="35">
        <v>32919</v>
      </c>
      <c r="P7" s="46"/>
      <c r="Q7" s="34">
        <v>39943</v>
      </c>
      <c r="R7" s="46"/>
      <c r="T7" s="55" t="s">
        <v>80</v>
      </c>
      <c r="U7" s="54"/>
      <c r="V7" s="55"/>
      <c r="W7" s="54"/>
      <c r="X7" s="55"/>
      <c r="Y7" s="54"/>
    </row>
    <row r="8" spans="1:25" x14ac:dyDescent="0.2">
      <c r="B8" s="53"/>
      <c r="C8" s="6"/>
      <c r="D8" s="36"/>
      <c r="E8" s="54"/>
      <c r="F8" s="55"/>
      <c r="G8" s="54"/>
      <c r="H8" s="36"/>
      <c r="I8" s="47"/>
      <c r="K8" s="53" t="s">
        <v>56</v>
      </c>
      <c r="L8" s="6"/>
      <c r="M8" s="36">
        <v>8823</v>
      </c>
      <c r="N8" s="54"/>
      <c r="O8" s="55">
        <v>38425</v>
      </c>
      <c r="P8" s="47"/>
      <c r="Q8" s="36">
        <v>40045</v>
      </c>
      <c r="R8" s="47"/>
      <c r="T8" s="55" t="s">
        <v>79</v>
      </c>
      <c r="U8" s="54"/>
      <c r="V8" s="55"/>
      <c r="W8" s="54"/>
      <c r="X8" s="55"/>
      <c r="Y8" s="54"/>
    </row>
    <row r="9" spans="1:25" x14ac:dyDescent="0.2">
      <c r="B9" s="62"/>
      <c r="C9" s="4"/>
      <c r="D9" s="37"/>
      <c r="E9" s="45"/>
      <c r="F9" s="39"/>
      <c r="G9" s="45"/>
      <c r="H9" s="37"/>
      <c r="I9" s="49"/>
      <c r="K9" s="28" t="s">
        <v>54</v>
      </c>
      <c r="L9" s="9"/>
      <c r="M9" s="34">
        <v>168234.34</v>
      </c>
      <c r="N9" s="42"/>
      <c r="O9" s="35">
        <v>502734.79</v>
      </c>
      <c r="P9" s="46"/>
      <c r="Q9" s="34">
        <v>545387</v>
      </c>
      <c r="R9" s="46"/>
    </row>
    <row r="10" spans="1:25" x14ac:dyDescent="0.2">
      <c r="B10" s="13" t="s">
        <v>1</v>
      </c>
      <c r="D10" s="36"/>
      <c r="E10" s="43"/>
      <c r="F10" s="38"/>
      <c r="G10" s="47"/>
      <c r="H10" s="36"/>
      <c r="I10" s="47"/>
      <c r="K10" s="13" t="s">
        <v>1</v>
      </c>
      <c r="M10" s="36"/>
      <c r="N10" s="43"/>
      <c r="O10" s="38"/>
      <c r="P10" s="47"/>
      <c r="Q10" s="36"/>
      <c r="R10" s="47"/>
    </row>
    <row r="11" spans="1:25" x14ac:dyDescent="0.2">
      <c r="B11" s="13"/>
      <c r="C11" t="s">
        <v>2</v>
      </c>
      <c r="D11" s="36">
        <f>E11*D7</f>
        <v>4462.6734000000006</v>
      </c>
      <c r="E11" s="43">
        <v>0.50580000000000003</v>
      </c>
      <c r="F11" s="38">
        <f>G11*F7</f>
        <v>19446.892499999998</v>
      </c>
      <c r="G11" s="47">
        <v>0.50609999999999999</v>
      </c>
      <c r="H11" s="36">
        <f>I11*H7</f>
        <v>22707.184499999999</v>
      </c>
      <c r="I11" s="47">
        <v>0.50409999999999999</v>
      </c>
      <c r="K11" s="13"/>
      <c r="L11" t="s">
        <v>2</v>
      </c>
      <c r="M11" s="36">
        <f>N11*M7</f>
        <v>4503.933</v>
      </c>
      <c r="N11" s="43">
        <v>0.51449999999999996</v>
      </c>
      <c r="O11" s="38">
        <f>P11*O7</f>
        <v>16933.533599999999</v>
      </c>
      <c r="P11" s="47">
        <v>0.51439999999999997</v>
      </c>
      <c r="Q11" s="36">
        <f>R11*Q7</f>
        <v>20530.702000000001</v>
      </c>
      <c r="R11" s="47">
        <v>0.51400000000000001</v>
      </c>
    </row>
    <row r="12" spans="1:25" x14ac:dyDescent="0.2">
      <c r="B12" s="13"/>
      <c r="C12" t="s">
        <v>3</v>
      </c>
      <c r="D12" s="36">
        <f>E12*D7</f>
        <v>4360.3265999999994</v>
      </c>
      <c r="E12" s="43">
        <v>0.49419999999999997</v>
      </c>
      <c r="F12" s="38">
        <f>G12*F7</f>
        <v>18978.107500000002</v>
      </c>
      <c r="G12" s="47">
        <v>0.49390000000000001</v>
      </c>
      <c r="H12" s="36">
        <f>I12*H7</f>
        <v>22333.311000000002</v>
      </c>
      <c r="I12" s="47">
        <v>0.49580000000000002</v>
      </c>
      <c r="K12" s="13"/>
      <c r="L12" t="s">
        <v>3</v>
      </c>
      <c r="M12" s="36">
        <f>N12*M7</f>
        <v>4250.067</v>
      </c>
      <c r="N12" s="43">
        <v>0.48549999999999999</v>
      </c>
      <c r="O12" s="38">
        <f>P12*O7</f>
        <v>15985.466399999999</v>
      </c>
      <c r="P12" s="47">
        <v>0.48559999999999998</v>
      </c>
      <c r="Q12" s="36">
        <f>R12*Q7</f>
        <v>19412.297999999999</v>
      </c>
      <c r="R12" s="47">
        <v>0.48599999999999999</v>
      </c>
    </row>
    <row r="13" spans="1:25" x14ac:dyDescent="0.2">
      <c r="B13" s="13"/>
      <c r="C13" t="s">
        <v>53</v>
      </c>
      <c r="D13" s="36">
        <f>E13*D7</f>
        <v>0</v>
      </c>
      <c r="E13" s="43">
        <v>0</v>
      </c>
      <c r="F13" s="38">
        <f>G13*F7</f>
        <v>0</v>
      </c>
      <c r="G13" s="47">
        <v>0</v>
      </c>
      <c r="H13" s="36">
        <v>1</v>
      </c>
      <c r="I13" s="47">
        <v>0</v>
      </c>
      <c r="K13" s="13"/>
      <c r="M13" s="36"/>
      <c r="N13" s="43"/>
      <c r="O13" s="38"/>
      <c r="P13" s="47"/>
      <c r="Q13" s="36"/>
      <c r="R13" s="47"/>
    </row>
    <row r="14" spans="1:25" x14ac:dyDescent="0.2">
      <c r="B14" s="13" t="s">
        <v>4</v>
      </c>
      <c r="D14" s="36"/>
      <c r="E14" s="43"/>
      <c r="F14" s="38"/>
      <c r="G14" s="47"/>
      <c r="H14" s="36"/>
      <c r="I14" s="47"/>
      <c r="K14" s="13" t="s">
        <v>4</v>
      </c>
      <c r="M14" s="36"/>
      <c r="N14" s="43"/>
      <c r="O14" s="38"/>
      <c r="P14" s="47"/>
      <c r="Q14" s="36"/>
      <c r="R14" s="47"/>
    </row>
    <row r="15" spans="1:25" x14ac:dyDescent="0.2">
      <c r="B15" s="13"/>
      <c r="C15" t="s">
        <v>5</v>
      </c>
      <c r="D15" s="36">
        <f>E15*D7</f>
        <v>4903.8233999999993</v>
      </c>
      <c r="E15" s="43">
        <v>0.55579999999999996</v>
      </c>
      <c r="F15" s="38">
        <f>G15*F7</f>
        <v>19120.28</v>
      </c>
      <c r="G15" s="47">
        <v>0.49759999999999999</v>
      </c>
      <c r="H15" s="36">
        <f>I15*H7</f>
        <v>22198.175999999999</v>
      </c>
      <c r="I15" s="47">
        <v>0.49280000000000002</v>
      </c>
      <c r="K15" s="13"/>
      <c r="L15" t="s">
        <v>5</v>
      </c>
      <c r="M15" s="36">
        <f>N15*M7</f>
        <v>6778.2222000000002</v>
      </c>
      <c r="N15" s="43">
        <v>0.77429999999999999</v>
      </c>
      <c r="O15" s="38">
        <f>P15*O7</f>
        <v>23352.738600000001</v>
      </c>
      <c r="P15" s="47">
        <v>0.70940000000000003</v>
      </c>
      <c r="Q15" s="36">
        <f>R15*Q7</f>
        <v>28135.849200000001</v>
      </c>
      <c r="R15" s="47">
        <v>0.70440000000000003</v>
      </c>
    </row>
    <row r="16" spans="1:25" x14ac:dyDescent="0.2">
      <c r="B16" s="13"/>
      <c r="C16" t="s">
        <v>6</v>
      </c>
      <c r="D16" s="36">
        <f>E16*D7</f>
        <v>3584.7849000000001</v>
      </c>
      <c r="E16" s="43">
        <v>0.40629999999999999</v>
      </c>
      <c r="F16" s="38">
        <f>G16*F7</f>
        <v>15569.81</v>
      </c>
      <c r="G16" s="47">
        <v>0.4052</v>
      </c>
      <c r="H16" s="36">
        <f>I16*H7</f>
        <v>18180.162</v>
      </c>
      <c r="I16" s="47">
        <v>0.40360000000000001</v>
      </c>
      <c r="K16" s="13"/>
      <c r="L16" t="s">
        <v>6</v>
      </c>
      <c r="M16" s="36">
        <f>N16*M7</f>
        <v>1348.9913999999999</v>
      </c>
      <c r="N16" s="43">
        <v>0.15409999999999999</v>
      </c>
      <c r="O16" s="38">
        <f>P16*O7</f>
        <v>5234.1210000000001</v>
      </c>
      <c r="P16" s="47">
        <v>0.159</v>
      </c>
      <c r="Q16" s="36">
        <f>R16*Q7</f>
        <v>6310.9939999999997</v>
      </c>
      <c r="R16" s="47">
        <v>0.158</v>
      </c>
    </row>
    <row r="17" spans="2:18" x14ac:dyDescent="0.2">
      <c r="B17" s="13"/>
      <c r="C17" t="s">
        <v>7</v>
      </c>
      <c r="D17" s="36">
        <f>E17*D7</f>
        <v>24.7044</v>
      </c>
      <c r="E17" s="43">
        <v>2.8E-3</v>
      </c>
      <c r="F17" s="38">
        <f>G17*F7</f>
        <v>1202.7025000000001</v>
      </c>
      <c r="G17" s="47">
        <v>3.1300000000000001E-2</v>
      </c>
      <c r="H17" s="36">
        <f>I17*H7</f>
        <v>1536.0345</v>
      </c>
      <c r="I17" s="47">
        <v>3.4099999999999998E-2</v>
      </c>
      <c r="K17" s="13"/>
      <c r="L17" t="s">
        <v>7</v>
      </c>
      <c r="M17" s="36">
        <f>N17*M7</f>
        <v>232.85639999999998</v>
      </c>
      <c r="N17" s="43">
        <v>2.6599999999999999E-2</v>
      </c>
      <c r="O17" s="38">
        <f>P17*O7</f>
        <v>1395.7655999999999</v>
      </c>
      <c r="P17" s="47">
        <v>4.24E-2</v>
      </c>
      <c r="Q17" s="36">
        <f>R17*Q7</f>
        <v>1761.4863</v>
      </c>
      <c r="R17" s="47">
        <v>4.41E-2</v>
      </c>
    </row>
    <row r="18" spans="2:18" x14ac:dyDescent="0.2">
      <c r="B18" s="13"/>
      <c r="C18" t="s">
        <v>8</v>
      </c>
      <c r="D18" s="36">
        <f>E18*D7</f>
        <v>229.398</v>
      </c>
      <c r="E18" s="43">
        <v>2.5999999999999999E-2</v>
      </c>
      <c r="F18" s="38">
        <f>G18*F7</f>
        <v>2098.0050000000001</v>
      </c>
      <c r="G18" s="47">
        <v>5.4600000000000003E-2</v>
      </c>
      <c r="H18" s="36">
        <f>I18*H7</f>
        <v>2563.0605</v>
      </c>
      <c r="I18" s="47">
        <v>5.6899999999999999E-2</v>
      </c>
      <c r="K18" s="13"/>
      <c r="L18" t="s">
        <v>8</v>
      </c>
      <c r="M18" s="36">
        <f>N18*M7</f>
        <v>326.52420000000001</v>
      </c>
      <c r="N18" s="43">
        <v>3.73E-2</v>
      </c>
      <c r="O18" s="38">
        <f>P18*O7</f>
        <v>2594.0171999999998</v>
      </c>
      <c r="P18" s="47">
        <v>7.8799999999999995E-2</v>
      </c>
      <c r="Q18" s="36">
        <f>R18*Q7</f>
        <v>3275.326</v>
      </c>
      <c r="R18" s="47">
        <v>8.2000000000000003E-2</v>
      </c>
    </row>
    <row r="19" spans="2:18" x14ac:dyDescent="0.2">
      <c r="B19" s="13"/>
      <c r="C19" t="s">
        <v>9</v>
      </c>
      <c r="D19" s="36">
        <f>E19*D7</f>
        <v>80.289299999999997</v>
      </c>
      <c r="E19" s="43">
        <v>9.1000000000000004E-3</v>
      </c>
      <c r="F19" s="38">
        <f>G19*F7</f>
        <v>434.20249999999999</v>
      </c>
      <c r="G19" s="47">
        <v>1.1299999999999999E-2</v>
      </c>
      <c r="H19" s="36">
        <f>I19*H7</f>
        <v>572.07150000000001</v>
      </c>
      <c r="I19" s="47">
        <v>1.2699999999999999E-2</v>
      </c>
      <c r="K19" s="13"/>
      <c r="L19" t="s">
        <v>9</v>
      </c>
      <c r="M19" s="36">
        <f>N19*M7</f>
        <v>67.405799999999999</v>
      </c>
      <c r="N19" s="43">
        <v>7.7000000000000002E-3</v>
      </c>
      <c r="O19" s="38">
        <f>P19*O7</f>
        <v>342.35759999999999</v>
      </c>
      <c r="P19" s="47">
        <v>1.04E-2</v>
      </c>
      <c r="Q19" s="36">
        <f>R19*Q7</f>
        <v>455.35020000000003</v>
      </c>
      <c r="R19" s="47">
        <v>1.14E-2</v>
      </c>
    </row>
    <row r="20" spans="2:18" x14ac:dyDescent="0.2">
      <c r="B20" s="13"/>
      <c r="D20" s="36"/>
      <c r="E20" s="43"/>
      <c r="F20" s="38"/>
      <c r="G20" s="47"/>
      <c r="H20" s="36"/>
      <c r="I20" s="47"/>
      <c r="K20" s="13"/>
      <c r="M20" s="36"/>
      <c r="N20" s="43"/>
      <c r="O20" s="38"/>
      <c r="P20" s="47"/>
      <c r="Q20" s="36"/>
      <c r="R20" s="47"/>
    </row>
    <row r="21" spans="2:18" x14ac:dyDescent="0.2">
      <c r="B21" s="13" t="s">
        <v>10</v>
      </c>
      <c r="D21" s="36"/>
      <c r="E21" s="43"/>
      <c r="F21" s="38"/>
      <c r="G21" s="47"/>
      <c r="H21" s="36"/>
      <c r="I21" s="47"/>
      <c r="K21" s="13" t="s">
        <v>10</v>
      </c>
      <c r="M21" s="36"/>
      <c r="N21" s="43"/>
      <c r="O21" s="38"/>
      <c r="P21" s="47"/>
      <c r="Q21" s="36"/>
      <c r="R21" s="47"/>
    </row>
    <row r="22" spans="2:18" x14ac:dyDescent="0.2">
      <c r="B22" s="13"/>
      <c r="C22" t="s">
        <v>11</v>
      </c>
      <c r="D22" s="36">
        <f>E22*D7</f>
        <v>6684.3048000000008</v>
      </c>
      <c r="E22" s="43">
        <v>0.75760000000000005</v>
      </c>
      <c r="F22" s="38">
        <f>G22*F7</f>
        <v>31431.649999999998</v>
      </c>
      <c r="G22" s="47">
        <v>0.81799999999999995</v>
      </c>
      <c r="H22" s="36">
        <f>I22*H7</f>
        <v>37148.611499999999</v>
      </c>
      <c r="I22" s="47">
        <v>0.82469999999999999</v>
      </c>
      <c r="K22" s="13"/>
      <c r="L22" t="s">
        <v>11</v>
      </c>
      <c r="M22" s="36">
        <f>N22*M7</f>
        <v>6516.4775999999993</v>
      </c>
      <c r="N22" s="43">
        <v>0.74439999999999995</v>
      </c>
      <c r="O22" s="38">
        <f>P22*O7</f>
        <v>25127.072700000001</v>
      </c>
      <c r="P22" s="47">
        <v>0.76329999999999998</v>
      </c>
      <c r="Q22" s="36">
        <f>R22*Q7</f>
        <v>30532.429199999999</v>
      </c>
      <c r="R22" s="47">
        <v>0.76439999999999997</v>
      </c>
    </row>
    <row r="23" spans="2:18" x14ac:dyDescent="0.2">
      <c r="B23" s="13"/>
      <c r="C23" t="s">
        <v>12</v>
      </c>
      <c r="D23" s="36">
        <f>E23*D7</f>
        <v>1956.9413999999999</v>
      </c>
      <c r="E23" s="43">
        <v>0.2218</v>
      </c>
      <c r="F23" s="38">
        <f>G23*F7</f>
        <v>6036.5674999999992</v>
      </c>
      <c r="G23" s="47">
        <v>0.15709999999999999</v>
      </c>
      <c r="H23" s="36">
        <f>I23*H7</f>
        <v>6711.7049999999999</v>
      </c>
      <c r="I23" s="47">
        <v>0.14899999999999999</v>
      </c>
      <c r="K23" s="13"/>
      <c r="L23" t="s">
        <v>12</v>
      </c>
      <c r="M23" s="36">
        <f>N23*M7</f>
        <v>1994.1612</v>
      </c>
      <c r="N23" s="43">
        <v>0.2278</v>
      </c>
      <c r="O23" s="38">
        <f>P23*O7</f>
        <v>6955.7846999999992</v>
      </c>
      <c r="P23" s="47">
        <v>0.21129999999999999</v>
      </c>
      <c r="Q23" s="36">
        <f>R23*Q7</f>
        <v>8372.0527999999995</v>
      </c>
      <c r="R23" s="47">
        <v>0.20960000000000001</v>
      </c>
    </row>
    <row r="24" spans="2:18" x14ac:dyDescent="0.2">
      <c r="B24" s="13"/>
      <c r="C24" t="s">
        <v>9</v>
      </c>
      <c r="D24" s="36">
        <f>E24*D7</f>
        <v>181.75380000000001</v>
      </c>
      <c r="E24" s="43">
        <v>2.06E-2</v>
      </c>
      <c r="F24" s="38">
        <f>G24*F7</f>
        <v>956.78249999999991</v>
      </c>
      <c r="G24" s="47">
        <v>2.4899999999999999E-2</v>
      </c>
      <c r="H24" s="36">
        <f>I24*H7</f>
        <v>1184.6835000000001</v>
      </c>
      <c r="I24" s="47">
        <v>2.63E-2</v>
      </c>
      <c r="K24" s="13"/>
      <c r="L24" t="s">
        <v>9</v>
      </c>
      <c r="M24" s="36">
        <f>N24*M7</f>
        <v>244.23660000000001</v>
      </c>
      <c r="N24" s="43">
        <v>2.7900000000000001E-2</v>
      </c>
      <c r="O24" s="38">
        <f>P24*O7</f>
        <v>839.43449999999996</v>
      </c>
      <c r="P24" s="47">
        <v>2.5499999999999998E-2</v>
      </c>
      <c r="Q24" s="36">
        <f>R24*Q7</f>
        <v>1034.5237</v>
      </c>
      <c r="R24" s="47">
        <v>2.5899999999999999E-2</v>
      </c>
    </row>
    <row r="25" spans="2:18" x14ac:dyDescent="0.2">
      <c r="B25" s="13"/>
      <c r="D25" s="36"/>
      <c r="E25" s="43"/>
      <c r="F25" s="38"/>
      <c r="G25" s="47"/>
      <c r="H25" s="36"/>
      <c r="I25" s="47"/>
      <c r="K25" s="13"/>
      <c r="M25" s="36"/>
      <c r="N25" s="43"/>
      <c r="O25" s="38"/>
      <c r="P25" s="47"/>
      <c r="Q25" s="36"/>
      <c r="R25" s="47"/>
    </row>
    <row r="26" spans="2:18" x14ac:dyDescent="0.2">
      <c r="B26" s="13" t="s">
        <v>13</v>
      </c>
      <c r="D26" s="40">
        <v>1987</v>
      </c>
      <c r="E26" s="44" t="s">
        <v>49</v>
      </c>
      <c r="F26" s="41">
        <v>1986</v>
      </c>
      <c r="G26" s="48" t="s">
        <v>48</v>
      </c>
      <c r="H26" s="40">
        <v>1986</v>
      </c>
      <c r="I26" s="48" t="s">
        <v>50</v>
      </c>
      <c r="K26" s="13" t="s">
        <v>13</v>
      </c>
      <c r="M26" s="40">
        <v>1987.1469999999999</v>
      </c>
      <c r="N26" s="44" t="s">
        <v>49</v>
      </c>
      <c r="O26" s="41">
        <v>1988.835</v>
      </c>
      <c r="P26" s="48" t="s">
        <v>48</v>
      </c>
      <c r="Q26" s="40">
        <v>1988.895</v>
      </c>
      <c r="R26" s="48" t="s">
        <v>50</v>
      </c>
    </row>
    <row r="27" spans="2:18" x14ac:dyDescent="0.2">
      <c r="B27" s="13"/>
      <c r="D27" s="36"/>
      <c r="E27" s="43"/>
      <c r="F27" s="38"/>
      <c r="G27" s="47"/>
      <c r="H27" s="36"/>
      <c r="I27" s="47"/>
      <c r="K27" s="13"/>
      <c r="M27" s="36"/>
      <c r="N27" s="43"/>
      <c r="O27" s="38"/>
      <c r="P27" s="47"/>
      <c r="Q27" s="36"/>
      <c r="R27" s="47"/>
    </row>
    <row r="28" spans="2:18" x14ac:dyDescent="0.2">
      <c r="B28" s="13" t="s">
        <v>14</v>
      </c>
      <c r="D28" s="36"/>
      <c r="E28" s="43"/>
      <c r="F28" s="38"/>
      <c r="G28" s="47"/>
      <c r="H28" s="36"/>
      <c r="I28" s="47"/>
      <c r="K28" s="13" t="s">
        <v>14</v>
      </c>
      <c r="M28" s="36"/>
      <c r="N28" s="43"/>
      <c r="O28" s="38"/>
      <c r="P28" s="47"/>
      <c r="Q28" s="36"/>
      <c r="R28" s="47"/>
    </row>
    <row r="29" spans="2:18" x14ac:dyDescent="0.2">
      <c r="B29" s="13"/>
      <c r="C29" t="s">
        <v>15</v>
      </c>
      <c r="D29" s="36">
        <f>E29*D7</f>
        <v>0</v>
      </c>
      <c r="E29" s="43">
        <v>0</v>
      </c>
      <c r="F29" s="38">
        <f>G29*F7</f>
        <v>6989.5075000000006</v>
      </c>
      <c r="G29" s="47">
        <v>0.18190000000000001</v>
      </c>
      <c r="H29" s="36">
        <f>I29*H7</f>
        <v>8540.5319999999992</v>
      </c>
      <c r="I29" s="47">
        <v>0.18959999999999999</v>
      </c>
      <c r="K29" s="13"/>
      <c r="L29" t="s">
        <v>15</v>
      </c>
      <c r="M29" s="36">
        <f>N29*M7</f>
        <v>0</v>
      </c>
      <c r="N29" s="43">
        <v>0</v>
      </c>
      <c r="O29" s="38">
        <f>P29*O7</f>
        <v>5553.4352999999992</v>
      </c>
      <c r="P29" s="47">
        <v>0.16869999999999999</v>
      </c>
      <c r="Q29" s="36">
        <f>R29*Q7</f>
        <v>7269.6260000000002</v>
      </c>
      <c r="R29" s="47">
        <v>0.182</v>
      </c>
    </row>
    <row r="30" spans="2:18" x14ac:dyDescent="0.2">
      <c r="B30" s="13"/>
      <c r="C30" t="s">
        <v>16</v>
      </c>
      <c r="D30" s="36">
        <f>E30*D7</f>
        <v>2216.3375999999998</v>
      </c>
      <c r="E30" s="43">
        <v>0.25119999999999998</v>
      </c>
      <c r="F30" s="38">
        <f>G30*F7</f>
        <v>5172.0050000000001</v>
      </c>
      <c r="G30" s="47">
        <v>0.1346</v>
      </c>
      <c r="H30" s="36">
        <f>I30*H7</f>
        <v>5981.9759999999997</v>
      </c>
      <c r="I30" s="47">
        <v>0.1328</v>
      </c>
      <c r="K30" s="13"/>
      <c r="L30" t="s">
        <v>16</v>
      </c>
      <c r="M30" s="36">
        <f>N30*M7</f>
        <v>2093.9567999999999</v>
      </c>
      <c r="N30" s="43">
        <v>0.2392</v>
      </c>
      <c r="O30" s="38">
        <f>P30*O7</f>
        <v>3831.7716</v>
      </c>
      <c r="P30" s="47">
        <v>0.1164</v>
      </c>
      <c r="Q30" s="36">
        <f>R30*Q7</f>
        <v>4429.6787000000004</v>
      </c>
      <c r="R30" s="47">
        <v>0.1109</v>
      </c>
    </row>
    <row r="31" spans="2:18" x14ac:dyDescent="0.2">
      <c r="B31" s="13"/>
      <c r="C31" t="s">
        <v>17</v>
      </c>
      <c r="D31" s="36">
        <f>E31*D7</f>
        <v>2261.3348999999998</v>
      </c>
      <c r="E31" s="43">
        <v>0.25629999999999997</v>
      </c>
      <c r="F31" s="38">
        <f>G31*F7</f>
        <v>7615.8349999999991</v>
      </c>
      <c r="G31" s="47">
        <v>0.19819999999999999</v>
      </c>
      <c r="H31" s="36">
        <f>I31*H7</f>
        <v>8594.5859999999993</v>
      </c>
      <c r="I31" s="47">
        <v>0.1908</v>
      </c>
      <c r="K31" s="13"/>
      <c r="L31" t="s">
        <v>17</v>
      </c>
      <c r="M31" s="36">
        <f>N31*M7</f>
        <v>2254.1550000000002</v>
      </c>
      <c r="N31" s="43">
        <v>0.25750000000000001</v>
      </c>
      <c r="O31" s="38">
        <f>P31*O7</f>
        <v>5299.9589999999998</v>
      </c>
      <c r="P31" s="47">
        <v>0.161</v>
      </c>
      <c r="Q31" s="36">
        <f>R31*Q7</f>
        <v>6199.1536000000006</v>
      </c>
      <c r="R31" s="47">
        <v>0.1552</v>
      </c>
    </row>
    <row r="32" spans="2:18" x14ac:dyDescent="0.2">
      <c r="B32" s="13"/>
      <c r="C32" t="s">
        <v>18</v>
      </c>
      <c r="D32" s="36">
        <f>E32*D7</f>
        <v>2083.9926</v>
      </c>
      <c r="E32" s="43">
        <v>0.23619999999999999</v>
      </c>
      <c r="F32" s="38">
        <f>G32*F7</f>
        <v>7016.4050000000007</v>
      </c>
      <c r="G32" s="47">
        <v>0.18260000000000001</v>
      </c>
      <c r="H32" s="36">
        <f>I32*H7</f>
        <v>8112.6045000000004</v>
      </c>
      <c r="I32" s="47">
        <v>0.18010000000000001</v>
      </c>
      <c r="K32" s="13"/>
      <c r="L32" t="s">
        <v>18</v>
      </c>
      <c r="M32" s="36">
        <f>N32*M7</f>
        <v>1967.0238000000002</v>
      </c>
      <c r="N32" s="43">
        <v>0.22470000000000001</v>
      </c>
      <c r="O32" s="38">
        <f>P32*O7</f>
        <v>5500.7649000000001</v>
      </c>
      <c r="P32" s="47">
        <v>0.1671</v>
      </c>
      <c r="Q32" s="36">
        <f>R32*Q7</f>
        <v>6390.88</v>
      </c>
      <c r="R32" s="47">
        <v>0.16</v>
      </c>
    </row>
    <row r="33" spans="1:18" x14ac:dyDescent="0.2">
      <c r="B33" s="13"/>
      <c r="C33" t="s">
        <v>19</v>
      </c>
      <c r="D33" s="36">
        <f>E33*D7</f>
        <v>1981.6458</v>
      </c>
      <c r="E33" s="43">
        <v>0.22459999999999999</v>
      </c>
      <c r="F33" s="38">
        <f>G33*F7</f>
        <v>4630.2124999999996</v>
      </c>
      <c r="G33" s="47">
        <v>0.1205</v>
      </c>
      <c r="H33" s="36">
        <f>I33*H7</f>
        <v>5310.8055000000004</v>
      </c>
      <c r="I33" s="47">
        <v>0.1179</v>
      </c>
      <c r="K33" s="13"/>
      <c r="L33" t="s">
        <v>19</v>
      </c>
      <c r="M33" s="36">
        <f>N33*M7</f>
        <v>2110.5894000000003</v>
      </c>
      <c r="N33" s="43">
        <v>0.24110000000000001</v>
      </c>
      <c r="O33" s="38">
        <f>P33*O7</f>
        <v>4993.8122999999996</v>
      </c>
      <c r="P33" s="47">
        <v>0.1517</v>
      </c>
      <c r="Q33" s="36">
        <f>R33*Q7</f>
        <v>5735.8148000000001</v>
      </c>
      <c r="R33" s="47">
        <v>0.14360000000000001</v>
      </c>
    </row>
    <row r="34" spans="1:18" x14ac:dyDescent="0.2">
      <c r="B34" s="13"/>
      <c r="C34" t="s">
        <v>46</v>
      </c>
      <c r="D34" s="36">
        <f>E34*D7</f>
        <v>279.6891</v>
      </c>
      <c r="E34" s="43">
        <v>3.1699999999999999E-2</v>
      </c>
      <c r="F34" s="38">
        <f>G34*F7</f>
        <v>5114.3675000000003</v>
      </c>
      <c r="G34" s="47">
        <v>0.1331</v>
      </c>
      <c r="H34" s="36">
        <f>I34*H7</f>
        <v>5698.1925000000001</v>
      </c>
      <c r="I34" s="47">
        <v>0.1265</v>
      </c>
      <c r="K34" s="13"/>
      <c r="L34" t="s">
        <v>46</v>
      </c>
      <c r="M34" s="36">
        <f>N34*M7</f>
        <v>327.39960000000002</v>
      </c>
      <c r="N34" s="43">
        <v>3.7400000000000003E-2</v>
      </c>
      <c r="O34" s="38">
        <f>P34*O7</f>
        <v>5685.1112999999996</v>
      </c>
      <c r="P34" s="47">
        <v>0.17269999999999999</v>
      </c>
      <c r="Q34" s="36">
        <f>R34*Q7</f>
        <v>6618.5550999999996</v>
      </c>
      <c r="R34" s="47">
        <v>0.16569999999999999</v>
      </c>
    </row>
    <row r="35" spans="1:18" x14ac:dyDescent="0.2">
      <c r="B35" s="11"/>
      <c r="C35" s="4" t="s">
        <v>47</v>
      </c>
      <c r="D35" s="37">
        <v>0</v>
      </c>
      <c r="E35" s="45">
        <v>0</v>
      </c>
      <c r="F35" s="39">
        <f>G35*F7</f>
        <v>1882.825</v>
      </c>
      <c r="G35" s="49">
        <v>4.9000000000000002E-2</v>
      </c>
      <c r="H35" s="37">
        <f>I35*H7</f>
        <v>2806.3035</v>
      </c>
      <c r="I35" s="49">
        <v>6.2300000000000001E-2</v>
      </c>
      <c r="K35" s="11"/>
      <c r="L35" s="4" t="s">
        <v>47</v>
      </c>
      <c r="M35" s="37">
        <v>0</v>
      </c>
      <c r="N35" s="45">
        <v>0</v>
      </c>
      <c r="O35" s="39">
        <f>P35*O7</f>
        <v>2057.4375</v>
      </c>
      <c r="P35" s="49">
        <v>6.25E-2</v>
      </c>
      <c r="Q35" s="37">
        <f>R35*Q7</f>
        <v>3299.2918000000004</v>
      </c>
      <c r="R35" s="49">
        <v>8.2600000000000007E-2</v>
      </c>
    </row>
    <row r="36" spans="1:18" ht="32" customHeight="1" x14ac:dyDescent="0.2">
      <c r="A36" s="29"/>
      <c r="B36" s="32" t="s">
        <v>24</v>
      </c>
      <c r="C36" s="32"/>
      <c r="D36" s="32"/>
      <c r="E36" s="32"/>
      <c r="F36" s="32"/>
      <c r="G36" s="32"/>
      <c r="H36" s="32"/>
      <c r="I36" s="32"/>
      <c r="K36" s="32" t="s">
        <v>24</v>
      </c>
      <c r="L36" s="32"/>
      <c r="M36" s="32"/>
      <c r="N36" s="32"/>
      <c r="O36" s="32"/>
      <c r="P36" s="32"/>
      <c r="Q36" s="32"/>
      <c r="R36" s="32"/>
    </row>
    <row r="37" spans="1:18" ht="95" customHeight="1" x14ac:dyDescent="0.2">
      <c r="A37" s="30"/>
      <c r="B37" s="33" t="s">
        <v>23</v>
      </c>
      <c r="C37" s="33"/>
      <c r="D37" s="33"/>
      <c r="E37" s="33"/>
      <c r="F37" s="33"/>
      <c r="G37" s="33"/>
      <c r="H37" s="33"/>
      <c r="I37" s="33"/>
      <c r="K37" s="33" t="s">
        <v>23</v>
      </c>
      <c r="L37" s="33"/>
      <c r="M37" s="33"/>
      <c r="N37" s="33"/>
      <c r="O37" s="33"/>
      <c r="P37" s="33"/>
      <c r="Q37" s="33"/>
      <c r="R37" s="33"/>
    </row>
  </sheetData>
  <mergeCells count="12">
    <mergeCell ref="B2:I2"/>
    <mergeCell ref="D4:E4"/>
    <mergeCell ref="F4:G4"/>
    <mergeCell ref="H4:I4"/>
    <mergeCell ref="B36:I36"/>
    <mergeCell ref="B37:I37"/>
    <mergeCell ref="Q4:R4"/>
    <mergeCell ref="O4:P4"/>
    <mergeCell ref="M4:N4"/>
    <mergeCell ref="K36:R36"/>
    <mergeCell ref="K37:R37"/>
    <mergeCell ref="K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B61E-A970-DB48-AC3B-CE109DA49604}">
  <dimension ref="D2:T58"/>
  <sheetViews>
    <sheetView topLeftCell="C1" zoomScaleNormal="150" workbookViewId="0">
      <selection activeCell="R38" sqref="R38"/>
    </sheetView>
  </sheetViews>
  <sheetFormatPr baseColWidth="10" defaultRowHeight="16" x14ac:dyDescent="0.2"/>
  <cols>
    <col min="4" max="4" width="16.6640625" customWidth="1"/>
    <col min="5" max="5" width="20.33203125" customWidth="1"/>
    <col min="12" max="12" width="33.83203125" customWidth="1"/>
  </cols>
  <sheetData>
    <row r="2" spans="4:20" x14ac:dyDescent="0.2">
      <c r="D2" s="14" t="s">
        <v>58</v>
      </c>
      <c r="E2" s="18"/>
      <c r="F2" s="18"/>
      <c r="G2" s="18"/>
      <c r="H2" s="18"/>
      <c r="I2" s="15"/>
      <c r="K2" s="73" t="s">
        <v>51</v>
      </c>
      <c r="L2" s="74"/>
      <c r="M2" s="74"/>
      <c r="N2" s="74"/>
      <c r="O2" s="74"/>
      <c r="P2" s="75"/>
    </row>
    <row r="3" spans="4:20" x14ac:dyDescent="0.2">
      <c r="D3" s="13"/>
      <c r="E3" s="6"/>
      <c r="F3" s="6"/>
      <c r="G3" s="6"/>
      <c r="H3" s="6"/>
      <c r="I3" s="3"/>
      <c r="K3" s="65"/>
      <c r="L3" s="64"/>
      <c r="M3" s="64"/>
      <c r="N3" s="64"/>
      <c r="O3" s="64"/>
      <c r="P3" s="66"/>
    </row>
    <row r="4" spans="4:20" x14ac:dyDescent="0.2">
      <c r="D4" s="13"/>
      <c r="E4" s="3"/>
      <c r="F4" s="50" t="s">
        <v>20</v>
      </c>
      <c r="G4" s="51"/>
      <c r="H4" s="51" t="s">
        <v>21</v>
      </c>
      <c r="I4" s="52"/>
      <c r="K4" s="65"/>
      <c r="L4" s="66"/>
      <c r="M4" s="77" t="s">
        <v>20</v>
      </c>
      <c r="N4" s="76"/>
      <c r="O4" s="76" t="s">
        <v>21</v>
      </c>
      <c r="P4" s="78"/>
    </row>
    <row r="5" spans="4:20" x14ac:dyDescent="0.2">
      <c r="D5" s="11"/>
      <c r="E5" s="5"/>
      <c r="F5" s="19" t="s">
        <v>25</v>
      </c>
      <c r="G5" s="19" t="s">
        <v>35</v>
      </c>
      <c r="H5" s="19" t="s">
        <v>25</v>
      </c>
      <c r="I5" s="17" t="s">
        <v>35</v>
      </c>
      <c r="K5" s="67"/>
      <c r="L5" s="68"/>
      <c r="M5" s="69" t="s">
        <v>25</v>
      </c>
      <c r="N5" s="69" t="s">
        <v>35</v>
      </c>
      <c r="O5" s="69" t="s">
        <v>25</v>
      </c>
      <c r="P5" s="70" t="s">
        <v>35</v>
      </c>
    </row>
    <row r="6" spans="4:20" x14ac:dyDescent="0.2">
      <c r="D6" s="28" t="s">
        <v>0</v>
      </c>
      <c r="E6" s="10"/>
      <c r="F6" s="35">
        <v>8823</v>
      </c>
      <c r="G6" s="42">
        <v>1</v>
      </c>
      <c r="H6" s="35">
        <v>38425</v>
      </c>
      <c r="I6" s="46">
        <v>1</v>
      </c>
      <c r="K6" s="71" t="s">
        <v>0</v>
      </c>
      <c r="L6" s="68"/>
      <c r="M6" s="72">
        <v>8754</v>
      </c>
      <c r="N6" s="91">
        <v>1</v>
      </c>
      <c r="O6" s="72">
        <v>32919</v>
      </c>
      <c r="P6" s="89">
        <v>1</v>
      </c>
    </row>
    <row r="7" spans="4:20" x14ac:dyDescent="0.2">
      <c r="D7" s="13" t="s">
        <v>29</v>
      </c>
      <c r="E7" s="3"/>
      <c r="F7" s="6"/>
      <c r="G7" s="54"/>
      <c r="H7" s="6"/>
      <c r="I7" s="47"/>
      <c r="K7" s="65" t="s">
        <v>29</v>
      </c>
      <c r="L7" s="66"/>
      <c r="M7" s="64"/>
      <c r="N7" s="85"/>
      <c r="O7" s="64"/>
      <c r="P7" s="90"/>
    </row>
    <row r="8" spans="4:20" x14ac:dyDescent="0.2">
      <c r="D8" s="13"/>
      <c r="E8" s="3" t="s">
        <v>30</v>
      </c>
      <c r="F8" s="6">
        <v>5571</v>
      </c>
      <c r="G8" s="54">
        <v>0.63139999999999996</v>
      </c>
      <c r="H8" s="6">
        <v>17811</v>
      </c>
      <c r="I8" s="47">
        <v>0.46350000000000002</v>
      </c>
      <c r="K8" s="65"/>
      <c r="L8" s="3" t="s">
        <v>30</v>
      </c>
      <c r="M8" s="86">
        <f>N8*M6</f>
        <v>5058.9366</v>
      </c>
      <c r="N8" s="85">
        <v>0.57789999999999997</v>
      </c>
      <c r="O8" s="86">
        <f>P8*O6</f>
        <v>15511.4328</v>
      </c>
      <c r="P8" s="90">
        <v>0.47120000000000001</v>
      </c>
    </row>
    <row r="9" spans="4:20" x14ac:dyDescent="0.2">
      <c r="D9" s="13"/>
      <c r="E9" s="3" t="s">
        <v>61</v>
      </c>
      <c r="F9" s="6">
        <v>4456</v>
      </c>
      <c r="G9" s="54">
        <v>0.505</v>
      </c>
      <c r="H9" s="6">
        <v>13961</v>
      </c>
      <c r="I9" s="47">
        <v>0.36330000000000001</v>
      </c>
      <c r="K9" s="65"/>
      <c r="L9" s="3" t="s">
        <v>68</v>
      </c>
      <c r="M9" s="86">
        <f>N9*M6</f>
        <v>3850.0092000000004</v>
      </c>
      <c r="N9" s="85">
        <v>0.43980000000000002</v>
      </c>
      <c r="O9" s="86">
        <f>P9*O6</f>
        <v>11893.634700000001</v>
      </c>
      <c r="P9" s="90">
        <v>0.36130000000000001</v>
      </c>
    </row>
    <row r="10" spans="4:20" x14ac:dyDescent="0.2">
      <c r="D10" s="13"/>
      <c r="E10" s="3" t="s">
        <v>62</v>
      </c>
      <c r="F10" s="6">
        <v>4338</v>
      </c>
      <c r="G10" s="54">
        <v>0.49170000000000003</v>
      </c>
      <c r="H10" s="6">
        <v>13145</v>
      </c>
      <c r="I10" s="47">
        <v>0.34210000000000002</v>
      </c>
      <c r="K10" s="65"/>
      <c r="L10" s="3" t="s">
        <v>69</v>
      </c>
      <c r="M10" s="86">
        <f>N10*M6</f>
        <v>3744.9612000000002</v>
      </c>
      <c r="N10" s="85">
        <v>0.42780000000000001</v>
      </c>
      <c r="O10" s="86">
        <f>P10*O6</f>
        <v>11373.514499999999</v>
      </c>
      <c r="P10" s="90">
        <v>0.34549999999999997</v>
      </c>
      <c r="T10" s="3"/>
    </row>
    <row r="11" spans="4:20" x14ac:dyDescent="0.2">
      <c r="D11" s="13"/>
      <c r="E11" s="3"/>
      <c r="F11" s="6"/>
      <c r="G11" s="54"/>
      <c r="H11" s="6"/>
      <c r="I11" s="47"/>
      <c r="K11" s="65"/>
      <c r="L11" s="3"/>
      <c r="M11" s="86"/>
      <c r="N11" s="85"/>
      <c r="O11" s="86"/>
      <c r="P11" s="90"/>
      <c r="T11" s="3"/>
    </row>
    <row r="12" spans="4:20" x14ac:dyDescent="0.2">
      <c r="D12" s="13"/>
      <c r="E12" s="3" t="s">
        <v>31</v>
      </c>
      <c r="F12" s="6">
        <v>3522</v>
      </c>
      <c r="G12" s="54">
        <v>0.3992</v>
      </c>
      <c r="H12" s="6">
        <v>9970</v>
      </c>
      <c r="I12" s="47">
        <v>0.25950000000000001</v>
      </c>
      <c r="K12" s="65"/>
      <c r="L12" s="3" t="s">
        <v>31</v>
      </c>
      <c r="M12" s="86">
        <f>N12*M6</f>
        <v>3125.1779999999999</v>
      </c>
      <c r="N12" s="85">
        <v>0.35699999999999998</v>
      </c>
      <c r="O12" s="86">
        <f>P12*O6</f>
        <v>9019.8060000000005</v>
      </c>
      <c r="P12" s="90">
        <v>0.27400000000000002</v>
      </c>
    </row>
    <row r="13" spans="4:20" x14ac:dyDescent="0.2">
      <c r="D13" s="13"/>
      <c r="E13" s="3" t="s">
        <v>32</v>
      </c>
      <c r="F13" s="6">
        <v>1557</v>
      </c>
      <c r="G13" s="54">
        <v>0.17649999999999999</v>
      </c>
      <c r="H13" s="6">
        <v>4295</v>
      </c>
      <c r="I13" s="47">
        <v>0.1118</v>
      </c>
      <c r="K13" s="65"/>
      <c r="L13" s="3" t="s">
        <v>32</v>
      </c>
      <c r="M13" s="86">
        <f>N13*M6</f>
        <v>1169.5344</v>
      </c>
      <c r="N13" s="85">
        <v>0.1336</v>
      </c>
      <c r="O13" s="86">
        <f>P13*O6</f>
        <v>3647.4251999999997</v>
      </c>
      <c r="P13" s="90">
        <v>0.1108</v>
      </c>
    </row>
    <row r="14" spans="4:20" x14ac:dyDescent="0.2">
      <c r="D14" s="13"/>
      <c r="E14" s="3" t="s">
        <v>36</v>
      </c>
      <c r="F14" s="6">
        <v>133</v>
      </c>
      <c r="G14" s="54">
        <v>1.5100000000000001E-2</v>
      </c>
      <c r="H14" s="6">
        <v>347</v>
      </c>
      <c r="I14" s="47">
        <v>8.9999999999999993E-3</v>
      </c>
      <c r="K14" s="65"/>
      <c r="L14" s="3" t="s">
        <v>36</v>
      </c>
      <c r="M14" s="86">
        <f>N14*M6</f>
        <v>94.543199999999999</v>
      </c>
      <c r="N14" s="85">
        <v>1.0800000000000001E-2</v>
      </c>
      <c r="O14" s="86">
        <f>P14*O6</f>
        <v>292.97910000000002</v>
      </c>
      <c r="P14" s="90">
        <v>8.8999999999999999E-3</v>
      </c>
    </row>
    <row r="15" spans="4:20" x14ac:dyDescent="0.2">
      <c r="D15" s="13"/>
      <c r="E15" s="3" t="s">
        <v>33</v>
      </c>
      <c r="F15" s="6">
        <v>1170</v>
      </c>
      <c r="G15" s="54">
        <v>0.1326</v>
      </c>
      <c r="H15" s="6">
        <v>3530</v>
      </c>
      <c r="I15" s="47">
        <v>9.1899999999999996E-2</v>
      </c>
      <c r="K15" s="65"/>
      <c r="L15" s="3" t="s">
        <v>33</v>
      </c>
      <c r="M15" s="86">
        <f>N15*M6</f>
        <v>775.60439999999994</v>
      </c>
      <c r="N15" s="85">
        <v>8.8599999999999998E-2</v>
      </c>
      <c r="O15" s="86">
        <f>P15*O6</f>
        <v>2376.7518</v>
      </c>
      <c r="P15" s="90">
        <v>7.22E-2</v>
      </c>
    </row>
    <row r="16" spans="4:20" x14ac:dyDescent="0.2">
      <c r="D16" s="13"/>
      <c r="E16" s="3" t="s">
        <v>37</v>
      </c>
      <c r="F16" s="6">
        <v>2057</v>
      </c>
      <c r="G16" s="54">
        <v>0.2331</v>
      </c>
      <c r="H16" s="6">
        <v>6192</v>
      </c>
      <c r="I16" s="47">
        <v>0.16109999999999999</v>
      </c>
      <c r="K16" s="65"/>
      <c r="L16" s="3" t="s">
        <v>37</v>
      </c>
      <c r="M16" s="86">
        <f>N16*M6</f>
        <v>2016.9215999999999</v>
      </c>
      <c r="N16" s="85">
        <v>0.23039999999999999</v>
      </c>
      <c r="O16" s="86">
        <f>P16*O6</f>
        <v>5741.0735999999997</v>
      </c>
      <c r="P16" s="90">
        <v>0.1744</v>
      </c>
    </row>
    <row r="17" spans="4:18" x14ac:dyDescent="0.2">
      <c r="D17" s="13"/>
      <c r="E17" s="3" t="s">
        <v>38</v>
      </c>
      <c r="F17" s="6">
        <v>199</v>
      </c>
      <c r="G17" s="54">
        <v>2.2599999999999999E-2</v>
      </c>
      <c r="H17" s="6">
        <v>494</v>
      </c>
      <c r="I17" s="47">
        <v>1.29E-2</v>
      </c>
      <c r="K17" s="65"/>
      <c r="L17" s="3" t="s">
        <v>38</v>
      </c>
      <c r="M17" s="86">
        <f>N17*M6</f>
        <v>121.6806</v>
      </c>
      <c r="N17" s="85">
        <v>1.3899999999999999E-2</v>
      </c>
      <c r="O17" s="86">
        <f>P17*O6</f>
        <v>329.19</v>
      </c>
      <c r="P17" s="90">
        <v>0.01</v>
      </c>
    </row>
    <row r="18" spans="4:18" x14ac:dyDescent="0.2">
      <c r="D18" s="13"/>
      <c r="E18" s="3" t="s">
        <v>39</v>
      </c>
      <c r="F18" s="6">
        <v>7</v>
      </c>
      <c r="G18" s="54">
        <v>8.0000000000000004E-4</v>
      </c>
      <c r="H18" s="6">
        <v>12</v>
      </c>
      <c r="I18" s="47">
        <v>1.29E-2</v>
      </c>
      <c r="K18" s="65"/>
      <c r="L18" s="3" t="s">
        <v>39</v>
      </c>
      <c r="M18" s="86">
        <f>N18*M6</f>
        <v>8.3163</v>
      </c>
      <c r="N18" s="85">
        <v>9.5E-4</v>
      </c>
      <c r="O18" s="86">
        <f>P18*O6</f>
        <v>0.16459500000000002</v>
      </c>
      <c r="P18" s="90">
        <v>5.0000000000000004E-6</v>
      </c>
    </row>
    <row r="19" spans="4:18" x14ac:dyDescent="0.2">
      <c r="D19" s="13"/>
      <c r="E19" s="3" t="s">
        <v>40</v>
      </c>
      <c r="F19" s="6">
        <v>228</v>
      </c>
      <c r="G19" s="54">
        <v>2.58E-2</v>
      </c>
      <c r="H19" s="6">
        <v>737</v>
      </c>
      <c r="I19" s="47">
        <v>1.9199999999999998E-2</v>
      </c>
      <c r="K19" s="65"/>
      <c r="L19" s="3" t="s">
        <v>40</v>
      </c>
      <c r="M19" s="86">
        <f>N19*M6</f>
        <v>227.60399999999998</v>
      </c>
      <c r="N19" s="85">
        <v>2.5999999999999999E-2</v>
      </c>
      <c r="O19" s="86">
        <f>P19*O6</f>
        <v>664.96379999999999</v>
      </c>
      <c r="P19" s="90">
        <v>2.0199999999999999E-2</v>
      </c>
    </row>
    <row r="20" spans="4:18" x14ac:dyDescent="0.2">
      <c r="D20" s="13"/>
      <c r="E20" s="3" t="s">
        <v>41</v>
      </c>
      <c r="F20" s="6">
        <v>38</v>
      </c>
      <c r="G20" s="54">
        <v>4.3E-3</v>
      </c>
      <c r="H20" s="6">
        <v>149</v>
      </c>
      <c r="I20" s="47">
        <v>3.8999999999999998E-3</v>
      </c>
      <c r="K20" s="65"/>
      <c r="L20" s="3" t="s">
        <v>41</v>
      </c>
      <c r="M20" s="86">
        <f>N20*M6</f>
        <v>39.392999999999994</v>
      </c>
      <c r="N20" s="85">
        <v>4.4999999999999997E-3</v>
      </c>
      <c r="O20" s="86">
        <f>P20*O6</f>
        <v>158.01119999999997</v>
      </c>
      <c r="P20" s="90">
        <v>4.7999999999999996E-3</v>
      </c>
    </row>
    <row r="21" spans="4:18" x14ac:dyDescent="0.2">
      <c r="D21" s="13"/>
      <c r="E21" s="3" t="s">
        <v>9</v>
      </c>
      <c r="F21" s="6">
        <v>8</v>
      </c>
      <c r="G21" s="54">
        <v>8.9999999999999998E-4</v>
      </c>
      <c r="H21" s="6">
        <v>39</v>
      </c>
      <c r="I21" s="47">
        <v>1E-3</v>
      </c>
      <c r="K21" s="65"/>
      <c r="L21" s="3" t="s">
        <v>9</v>
      </c>
      <c r="M21" s="86">
        <f>N21*M6</f>
        <v>8.4038400000000006</v>
      </c>
      <c r="N21" s="85">
        <v>9.6000000000000002E-4</v>
      </c>
      <c r="O21" s="86">
        <f>P21*O6</f>
        <v>0.2172654</v>
      </c>
      <c r="P21" s="90">
        <v>6.6000000000000003E-6</v>
      </c>
    </row>
    <row r="22" spans="4:18" x14ac:dyDescent="0.2">
      <c r="D22" s="13"/>
      <c r="E22" s="3" t="s">
        <v>8</v>
      </c>
      <c r="F22" s="6">
        <v>441</v>
      </c>
      <c r="G22" s="54">
        <v>0.05</v>
      </c>
      <c r="H22" s="6">
        <v>1855</v>
      </c>
      <c r="I22" s="47">
        <v>4.8300000000000003E-2</v>
      </c>
      <c r="K22" s="65"/>
      <c r="L22" s="3" t="s">
        <v>8</v>
      </c>
      <c r="M22" s="86">
        <f>N22*M6</f>
        <v>252.11519999999999</v>
      </c>
      <c r="N22" s="85">
        <v>2.8799999999999999E-2</v>
      </c>
      <c r="O22" s="86">
        <f>P22*O6</f>
        <v>1089.6188999999999</v>
      </c>
      <c r="P22" s="90">
        <v>3.3099999999999997E-2</v>
      </c>
    </row>
    <row r="23" spans="4:18" x14ac:dyDescent="0.2">
      <c r="D23" s="13"/>
      <c r="E23" s="3"/>
      <c r="F23" s="6"/>
      <c r="G23" s="54"/>
      <c r="H23" s="6"/>
      <c r="I23" s="3"/>
      <c r="K23" s="65"/>
      <c r="L23" s="3"/>
      <c r="M23" s="64"/>
      <c r="N23" s="64"/>
      <c r="O23" s="64"/>
      <c r="P23" s="90"/>
    </row>
    <row r="24" spans="4:18" x14ac:dyDescent="0.2">
      <c r="D24" s="13" t="s">
        <v>34</v>
      </c>
      <c r="E24" s="3"/>
      <c r="F24" s="6"/>
      <c r="G24" s="54"/>
      <c r="H24" s="6"/>
      <c r="I24" s="3"/>
      <c r="K24" s="65" t="s">
        <v>34</v>
      </c>
      <c r="L24" s="3"/>
      <c r="M24" s="64"/>
      <c r="N24" s="64"/>
      <c r="O24" s="64"/>
      <c r="P24" s="90"/>
    </row>
    <row r="25" spans="4:18" x14ac:dyDescent="0.2">
      <c r="D25" s="13"/>
      <c r="E25" s="3" t="s">
        <v>30</v>
      </c>
      <c r="F25" s="55">
        <f>G25*F6</f>
        <v>3741.8343</v>
      </c>
      <c r="G25" s="54">
        <v>0.42409999999999998</v>
      </c>
      <c r="H25" s="83">
        <v>11459</v>
      </c>
      <c r="I25" s="87">
        <v>0.29820000000000002</v>
      </c>
      <c r="K25" s="65"/>
      <c r="L25" s="3" t="s">
        <v>60</v>
      </c>
      <c r="M25" s="86">
        <f>N25*M6</f>
        <v>3321.2676000000001</v>
      </c>
      <c r="N25" s="85">
        <v>0.37940000000000002</v>
      </c>
      <c r="O25" s="86">
        <f>P25*O6</f>
        <v>9967.8732</v>
      </c>
      <c r="P25" s="90">
        <v>0.30280000000000001</v>
      </c>
    </row>
    <row r="26" spans="4:18" x14ac:dyDescent="0.2">
      <c r="D26" s="13"/>
      <c r="E26" s="3" t="s">
        <v>61</v>
      </c>
      <c r="F26" s="83">
        <f>G26*F6</f>
        <v>3245.0994000000001</v>
      </c>
      <c r="G26" s="54">
        <v>0.36780000000000002</v>
      </c>
      <c r="H26" s="83">
        <f>I26*H6</f>
        <v>9671.5724999999984</v>
      </c>
      <c r="I26" s="87">
        <v>0.25169999999999998</v>
      </c>
      <c r="K26" s="65"/>
      <c r="L26" s="3" t="s">
        <v>68</v>
      </c>
      <c r="M26" s="86">
        <f>N26*M6</f>
        <v>2813.5356000000002</v>
      </c>
      <c r="N26" s="85">
        <v>0.32140000000000002</v>
      </c>
      <c r="O26" s="86">
        <f>P26*O6</f>
        <v>8427.264000000001</v>
      </c>
      <c r="P26" s="90">
        <v>0.25600000000000001</v>
      </c>
    </row>
    <row r="27" spans="4:18" x14ac:dyDescent="0.2">
      <c r="D27" s="13"/>
      <c r="E27" s="3" t="s">
        <v>62</v>
      </c>
      <c r="F27" s="83">
        <f>G27*F6</f>
        <v>3074.8154999999997</v>
      </c>
      <c r="G27" s="54">
        <v>0.34849999999999998</v>
      </c>
      <c r="H27" s="83">
        <f>I27*H6</f>
        <v>8853.119999999999</v>
      </c>
      <c r="I27" s="87">
        <v>0.23039999999999999</v>
      </c>
      <c r="K27" s="65"/>
      <c r="L27" s="3" t="s">
        <v>69</v>
      </c>
      <c r="M27" s="86">
        <f>N27*M6</f>
        <v>2659.4652000000001</v>
      </c>
      <c r="N27" s="85">
        <v>0.30380000000000001</v>
      </c>
      <c r="O27" s="86">
        <f>P27*O6</f>
        <v>7808.3868000000002</v>
      </c>
      <c r="P27" s="90">
        <v>0.23719999999999999</v>
      </c>
    </row>
    <row r="28" spans="4:18" x14ac:dyDescent="0.2">
      <c r="D28" s="13"/>
      <c r="E28" s="3"/>
      <c r="F28" s="83"/>
      <c r="G28" s="54"/>
      <c r="H28" s="83"/>
      <c r="I28" s="3"/>
      <c r="K28" s="65"/>
      <c r="L28" s="3"/>
      <c r="M28" s="86"/>
      <c r="N28" s="85"/>
      <c r="O28" s="86"/>
      <c r="P28" s="90"/>
    </row>
    <row r="29" spans="4:18" x14ac:dyDescent="0.2">
      <c r="D29" s="13"/>
      <c r="E29" s="3" t="s">
        <v>31</v>
      </c>
      <c r="F29" s="83">
        <v>2473</v>
      </c>
      <c r="G29" s="54">
        <v>0.28010000000000002</v>
      </c>
      <c r="H29" s="83">
        <f>I29*H6</f>
        <v>6597.5724999999993</v>
      </c>
      <c r="I29" s="88">
        <v>0.17169999999999999</v>
      </c>
      <c r="K29" s="65"/>
      <c r="L29" s="3" t="s">
        <v>31</v>
      </c>
      <c r="M29" s="86">
        <f>N29*M6</f>
        <v>2191.1262000000002</v>
      </c>
      <c r="N29" s="85">
        <v>0.25030000000000002</v>
      </c>
      <c r="O29" s="86">
        <f>P29*O6</f>
        <v>6169.0206000000007</v>
      </c>
      <c r="P29" s="90">
        <v>0.18740000000000001</v>
      </c>
      <c r="R29" s="94" t="s">
        <v>70</v>
      </c>
    </row>
    <row r="30" spans="4:18" x14ac:dyDescent="0.2">
      <c r="D30" s="13"/>
      <c r="E30" s="3" t="s">
        <v>32</v>
      </c>
      <c r="F30" s="83">
        <f>G30*F6</f>
        <v>704.07539999999995</v>
      </c>
      <c r="G30" s="54">
        <v>7.9799999999999996E-2</v>
      </c>
      <c r="H30" s="83">
        <f>I30*H6</f>
        <v>2055.7375000000002</v>
      </c>
      <c r="I30" s="88">
        <v>5.3499999999999999E-2</v>
      </c>
      <c r="K30" s="65"/>
      <c r="L30" s="3" t="s">
        <v>32</v>
      </c>
      <c r="M30" s="86">
        <f>N30*M6</f>
        <v>569.01</v>
      </c>
      <c r="N30" s="85">
        <v>6.5000000000000002E-2</v>
      </c>
      <c r="O30" s="86">
        <f>P30*O6</f>
        <v>1813.8369</v>
      </c>
      <c r="P30" s="90">
        <v>5.5100000000000003E-2</v>
      </c>
      <c r="R30" t="s">
        <v>71</v>
      </c>
    </row>
    <row r="31" spans="4:18" x14ac:dyDescent="0.2">
      <c r="D31" s="13"/>
      <c r="E31" s="3" t="s">
        <v>36</v>
      </c>
      <c r="F31" s="83">
        <f>G31*F6</f>
        <v>61.761000000000003</v>
      </c>
      <c r="G31" s="54">
        <v>7.0000000000000001E-3</v>
      </c>
      <c r="H31" s="83">
        <f>I31*H6</f>
        <v>138.32999999999998</v>
      </c>
      <c r="I31" s="88">
        <v>3.5999999999999999E-3</v>
      </c>
      <c r="K31" s="65"/>
      <c r="L31" s="3" t="s">
        <v>36</v>
      </c>
      <c r="M31" s="86">
        <f>N31*M6</f>
        <v>41.143799999999999</v>
      </c>
      <c r="N31" s="85">
        <v>4.7000000000000002E-3</v>
      </c>
      <c r="O31" s="86">
        <f>P31*O6</f>
        <v>98.757000000000005</v>
      </c>
      <c r="P31" s="90">
        <v>3.0000000000000001E-3</v>
      </c>
      <c r="R31" t="s">
        <v>72</v>
      </c>
    </row>
    <row r="32" spans="4:18" x14ac:dyDescent="0.2">
      <c r="D32" s="13"/>
      <c r="E32" s="3" t="s">
        <v>33</v>
      </c>
      <c r="F32" s="84">
        <f>G32*F6</f>
        <v>592.90559999999994</v>
      </c>
      <c r="G32" s="80">
        <v>6.7199999999999996E-2</v>
      </c>
      <c r="H32" s="83">
        <f>I32*H6</f>
        <v>1817.5025000000001</v>
      </c>
      <c r="I32" s="88">
        <v>4.7300000000000002E-2</v>
      </c>
      <c r="K32" s="65"/>
      <c r="L32" s="3" t="s">
        <v>33</v>
      </c>
      <c r="M32" s="86">
        <f>N32*M6</f>
        <v>395.68079999999998</v>
      </c>
      <c r="N32" s="85">
        <v>4.5199999999999997E-2</v>
      </c>
      <c r="O32" s="86">
        <f>P32*O6</f>
        <v>1178.5001999999999</v>
      </c>
      <c r="P32" s="90">
        <v>3.5799999999999998E-2</v>
      </c>
      <c r="R32" t="s">
        <v>73</v>
      </c>
    </row>
    <row r="33" spans="4:19" x14ac:dyDescent="0.2">
      <c r="D33" s="13"/>
      <c r="E33" s="3" t="s">
        <v>37</v>
      </c>
      <c r="F33" s="84">
        <f>G33*F6</f>
        <v>759.66030000000001</v>
      </c>
      <c r="G33" s="80">
        <v>8.6099999999999996E-2</v>
      </c>
      <c r="H33" s="83">
        <f>I33*H6</f>
        <v>2405.4050000000002</v>
      </c>
      <c r="I33" s="88">
        <v>6.2600000000000003E-2</v>
      </c>
      <c r="K33" s="65"/>
      <c r="L33" s="3" t="s">
        <v>37</v>
      </c>
      <c r="M33" s="86">
        <f>N33*M6</f>
        <v>772.97820000000002</v>
      </c>
      <c r="N33" s="85">
        <v>8.8300000000000003E-2</v>
      </c>
      <c r="O33" s="86">
        <f>P33*O6</f>
        <v>2208.8649</v>
      </c>
      <c r="P33" s="90">
        <v>6.7100000000000007E-2</v>
      </c>
      <c r="S33" t="s">
        <v>75</v>
      </c>
    </row>
    <row r="34" spans="4:19" x14ac:dyDescent="0.2">
      <c r="D34" s="13"/>
      <c r="E34" s="3" t="s">
        <v>38</v>
      </c>
      <c r="F34" s="84">
        <f>G34*F6</f>
        <v>157.04939999999999</v>
      </c>
      <c r="G34" s="80">
        <v>1.78E-2</v>
      </c>
      <c r="H34" s="83">
        <f>I34*H6</f>
        <v>361.19499999999999</v>
      </c>
      <c r="I34" s="88">
        <v>9.4000000000000004E-3</v>
      </c>
      <c r="K34" s="65"/>
      <c r="L34" s="3" t="s">
        <v>38</v>
      </c>
      <c r="M34" s="86">
        <f>N34*M6</f>
        <v>100.67099999999999</v>
      </c>
      <c r="N34" s="85">
        <v>1.15E-2</v>
      </c>
      <c r="O34" s="86">
        <f>P34*O6</f>
        <v>243.60060000000001</v>
      </c>
      <c r="P34" s="90">
        <v>7.4000000000000003E-3</v>
      </c>
      <c r="S34" t="s">
        <v>74</v>
      </c>
    </row>
    <row r="35" spans="4:19" x14ac:dyDescent="0.2">
      <c r="D35" s="13"/>
      <c r="E35" s="3" t="s">
        <v>39</v>
      </c>
      <c r="F35" s="84">
        <f>G35*F6</f>
        <v>6.1760999999999999</v>
      </c>
      <c r="G35" s="80">
        <v>6.9999999999999999E-4</v>
      </c>
      <c r="H35" s="83">
        <f>I35*H6</f>
        <v>7.6850000000000005</v>
      </c>
      <c r="I35" s="88">
        <v>2.0000000000000001E-4</v>
      </c>
      <c r="K35" s="65"/>
      <c r="L35" s="3" t="s">
        <v>39</v>
      </c>
      <c r="M35" s="86">
        <f>N35*M6</f>
        <v>5.9527200000000002</v>
      </c>
      <c r="N35" s="85">
        <v>6.8000000000000005E-4</v>
      </c>
      <c r="O35" s="86">
        <f>P35*O6</f>
        <v>12.83841</v>
      </c>
      <c r="P35" s="90">
        <v>3.8999999999999999E-4</v>
      </c>
      <c r="R35" t="s">
        <v>76</v>
      </c>
    </row>
    <row r="36" spans="4:19" x14ac:dyDescent="0.2">
      <c r="D36" s="13"/>
      <c r="E36" s="3" t="s">
        <v>40</v>
      </c>
      <c r="F36" s="84">
        <f>G36*F6</f>
        <v>207.34049999999999</v>
      </c>
      <c r="G36" s="80">
        <v>2.35E-2</v>
      </c>
      <c r="H36" s="83">
        <f>I36*H6</f>
        <v>595.58749999999998</v>
      </c>
      <c r="I36" s="88">
        <v>1.55E-2</v>
      </c>
      <c r="K36" s="65"/>
      <c r="L36" s="3" t="s">
        <v>40</v>
      </c>
      <c r="M36" s="86">
        <f>N36*M6</f>
        <v>207.46979999999999</v>
      </c>
      <c r="N36" s="85">
        <v>2.3699999999999999E-2</v>
      </c>
      <c r="O36" s="86">
        <f>P36*O6</f>
        <v>569.49869999999999</v>
      </c>
      <c r="P36" s="90">
        <v>1.7299999999999999E-2</v>
      </c>
      <c r="S36" t="s">
        <v>77</v>
      </c>
    </row>
    <row r="37" spans="4:19" x14ac:dyDescent="0.2">
      <c r="D37" s="13"/>
      <c r="E37" s="3" t="s">
        <v>41</v>
      </c>
      <c r="F37" s="84">
        <f>F6*G37</f>
        <v>37.938899999999997</v>
      </c>
      <c r="G37" s="80">
        <v>4.3E-3</v>
      </c>
      <c r="H37" s="83">
        <f>I37*H6</f>
        <v>1498.575</v>
      </c>
      <c r="I37" s="88">
        <v>3.9E-2</v>
      </c>
      <c r="K37" s="65"/>
      <c r="L37" s="3" t="s">
        <v>41</v>
      </c>
      <c r="M37" s="86">
        <f>N37*M6</f>
        <v>39.392999999999994</v>
      </c>
      <c r="N37" s="85">
        <v>4.4999999999999997E-3</v>
      </c>
      <c r="O37" s="86">
        <f>P37*O6</f>
        <v>158.01119999999997</v>
      </c>
      <c r="P37" s="90">
        <v>4.7999999999999996E-3</v>
      </c>
      <c r="S37" t="s">
        <v>78</v>
      </c>
    </row>
    <row r="38" spans="4:19" x14ac:dyDescent="0.2">
      <c r="D38" s="13"/>
      <c r="E38" s="3" t="s">
        <v>9</v>
      </c>
      <c r="F38" s="84">
        <f>F6*G38</f>
        <v>5.2937999999999992</v>
      </c>
      <c r="G38" s="80">
        <v>5.9999999999999995E-4</v>
      </c>
      <c r="H38" s="83">
        <f>I38*H6</f>
        <v>23.055</v>
      </c>
      <c r="I38" s="88">
        <v>5.9999999999999995E-4</v>
      </c>
      <c r="K38" s="65"/>
      <c r="L38" s="3" t="s">
        <v>9</v>
      </c>
      <c r="M38" s="86">
        <f>N38*M6</f>
        <v>2.71374</v>
      </c>
      <c r="N38" s="85">
        <v>3.1E-4</v>
      </c>
      <c r="O38" s="86">
        <f>P38*O6</f>
        <v>8.5589399999999998</v>
      </c>
      <c r="P38" s="90">
        <v>2.5999999999999998E-4</v>
      </c>
    </row>
    <row r="39" spans="4:19" x14ac:dyDescent="0.2">
      <c r="D39" s="13"/>
      <c r="E39" s="3" t="s">
        <v>59</v>
      </c>
      <c r="F39" s="84">
        <f>G39*F6</f>
        <v>337.92090000000002</v>
      </c>
      <c r="G39" s="80">
        <v>3.8300000000000001E-2</v>
      </c>
      <c r="H39" s="83">
        <f>I39*H6</f>
        <v>1406.355</v>
      </c>
      <c r="I39" s="88">
        <v>3.6600000000000001E-2</v>
      </c>
      <c r="K39" s="65"/>
      <c r="L39" s="3" t="s">
        <v>8</v>
      </c>
      <c r="M39" s="86">
        <f>N39*M6</f>
        <v>203.96820000000002</v>
      </c>
      <c r="N39" s="85">
        <v>2.3300000000000001E-2</v>
      </c>
      <c r="O39" s="86">
        <f>P39*O6</f>
        <v>803.22360000000003</v>
      </c>
      <c r="P39" s="90">
        <v>2.4400000000000002E-2</v>
      </c>
    </row>
    <row r="40" spans="4:19" x14ac:dyDescent="0.2">
      <c r="D40" s="13"/>
      <c r="E40" s="3"/>
      <c r="F40" s="6"/>
      <c r="G40" s="81"/>
      <c r="H40" s="6"/>
      <c r="I40" s="3"/>
      <c r="K40" s="65"/>
      <c r="L40" s="3"/>
      <c r="M40" s="64"/>
      <c r="N40" s="64"/>
      <c r="O40" s="64"/>
      <c r="P40" s="66"/>
    </row>
    <row r="41" spans="4:19" x14ac:dyDescent="0.2">
      <c r="D41" s="13" t="s">
        <v>42</v>
      </c>
      <c r="E41" s="3"/>
      <c r="F41" s="83"/>
      <c r="G41" s="81"/>
      <c r="H41" s="6"/>
      <c r="I41" s="3"/>
      <c r="K41" s="65" t="s">
        <v>42</v>
      </c>
      <c r="L41" s="3"/>
      <c r="M41" s="64"/>
      <c r="N41" s="64"/>
      <c r="O41" s="64"/>
      <c r="P41" s="93"/>
    </row>
    <row r="42" spans="4:19" x14ac:dyDescent="0.2">
      <c r="D42" s="13"/>
      <c r="E42" s="3" t="s">
        <v>30</v>
      </c>
      <c r="F42" s="6">
        <v>5285</v>
      </c>
      <c r="G42" s="80">
        <v>0.59899999999999998</v>
      </c>
      <c r="H42" s="6">
        <v>15645</v>
      </c>
      <c r="I42" s="47">
        <v>0.40720000000000001</v>
      </c>
      <c r="K42" s="65"/>
      <c r="L42" s="3" t="s">
        <v>30</v>
      </c>
      <c r="M42" s="86">
        <f>N42*M6</f>
        <v>4773.5562</v>
      </c>
      <c r="N42" s="85">
        <v>0.54530000000000001</v>
      </c>
      <c r="O42" s="86">
        <f>P42*O6</f>
        <v>14020.2021</v>
      </c>
      <c r="P42" s="90">
        <v>0.4259</v>
      </c>
    </row>
    <row r="43" spans="4:19" x14ac:dyDescent="0.2">
      <c r="D43" s="13"/>
      <c r="E43" s="3" t="s">
        <v>61</v>
      </c>
      <c r="F43" s="6">
        <v>4157</v>
      </c>
      <c r="G43" s="108">
        <v>0.47120000000000001</v>
      </c>
      <c r="H43" s="6">
        <v>11940</v>
      </c>
      <c r="I43" s="47">
        <v>0.31069999999999998</v>
      </c>
      <c r="K43" s="65"/>
      <c r="L43" s="3" t="s">
        <v>61</v>
      </c>
      <c r="M43" s="86">
        <f>N43*M6</f>
        <v>3594.3924000000002</v>
      </c>
      <c r="N43" s="85">
        <v>0.41060000000000002</v>
      </c>
      <c r="O43" s="86">
        <f>P43*O6</f>
        <v>10497.8691</v>
      </c>
      <c r="P43" s="90">
        <v>0.31890000000000002</v>
      </c>
    </row>
    <row r="44" spans="4:19" x14ac:dyDescent="0.2">
      <c r="D44" s="13"/>
      <c r="E44" s="3" t="s">
        <v>62</v>
      </c>
      <c r="F44" s="6">
        <v>4050</v>
      </c>
      <c r="G44" s="108">
        <v>0.45900000000000002</v>
      </c>
      <c r="H44" s="6">
        <v>11317</v>
      </c>
      <c r="I44" s="47">
        <v>0.29449999999999998</v>
      </c>
      <c r="K44" s="65"/>
      <c r="L44" s="3" t="s">
        <v>62</v>
      </c>
      <c r="M44" s="86">
        <f>N44*M6</f>
        <v>3498.9738000000002</v>
      </c>
      <c r="N44" s="85">
        <v>0.3997</v>
      </c>
      <c r="O44" s="86">
        <f>P44*O6</f>
        <v>10079.7978</v>
      </c>
      <c r="P44" s="90">
        <v>0.30620000000000003</v>
      </c>
    </row>
    <row r="45" spans="4:19" x14ac:dyDescent="0.2">
      <c r="D45" s="13"/>
      <c r="E45" s="3"/>
      <c r="F45" s="6"/>
      <c r="G45" s="108"/>
      <c r="H45" s="6"/>
      <c r="I45" s="47"/>
      <c r="K45" s="65"/>
      <c r="L45" s="3"/>
      <c r="M45" s="86"/>
      <c r="N45" s="85"/>
      <c r="O45" s="86"/>
      <c r="P45" s="90"/>
    </row>
    <row r="46" spans="4:19" x14ac:dyDescent="0.2">
      <c r="D46" s="13"/>
      <c r="E46" s="3" t="s">
        <v>31</v>
      </c>
      <c r="F46" s="6">
        <v>3103</v>
      </c>
      <c r="G46" s="108">
        <v>0.35170000000000001</v>
      </c>
      <c r="H46" s="6">
        <v>8218</v>
      </c>
      <c r="I46" s="47">
        <v>0.21390000000000001</v>
      </c>
      <c r="K46" s="65"/>
      <c r="L46" s="3" t="s">
        <v>31</v>
      </c>
      <c r="M46" s="86">
        <f>N46*M6</f>
        <v>2801.28</v>
      </c>
      <c r="N46" s="85">
        <v>0.32</v>
      </c>
      <c r="O46" s="86">
        <f>P46*O6</f>
        <v>7712.9216999999999</v>
      </c>
      <c r="P46" s="90">
        <v>0.23430000000000001</v>
      </c>
    </row>
    <row r="47" spans="4:19" x14ac:dyDescent="0.2">
      <c r="D47" s="13"/>
      <c r="E47" s="3" t="s">
        <v>32</v>
      </c>
      <c r="F47" s="6">
        <v>1323</v>
      </c>
      <c r="G47" s="108">
        <v>0.14990000000000001</v>
      </c>
      <c r="H47" s="6">
        <v>3326</v>
      </c>
      <c r="I47" s="47">
        <v>8.6599999999999996E-2</v>
      </c>
      <c r="K47" s="65"/>
      <c r="L47" s="3" t="s">
        <v>32</v>
      </c>
      <c r="M47" s="86">
        <f>N47*M6</f>
        <v>958.56299999999999</v>
      </c>
      <c r="N47" s="85">
        <v>0.1095</v>
      </c>
      <c r="O47" s="86">
        <f>P47*O6</f>
        <v>2801.4069</v>
      </c>
      <c r="P47" s="90">
        <v>8.5099999999999995E-2</v>
      </c>
    </row>
    <row r="48" spans="4:19" x14ac:dyDescent="0.2">
      <c r="D48" s="13"/>
      <c r="E48" s="3" t="s">
        <v>36</v>
      </c>
      <c r="F48" s="6">
        <v>122</v>
      </c>
      <c r="G48" s="108">
        <v>1.38E-2</v>
      </c>
      <c r="H48" s="6">
        <v>307</v>
      </c>
      <c r="I48" s="47">
        <v>8.0000000000000002E-3</v>
      </c>
      <c r="K48" s="65"/>
      <c r="L48" s="3" t="s">
        <v>36</v>
      </c>
      <c r="M48" s="86">
        <f>N48*M6</f>
        <v>86.664600000000007</v>
      </c>
      <c r="N48" s="85">
        <v>9.9000000000000008E-3</v>
      </c>
      <c r="O48" s="86">
        <f>P48*O6</f>
        <v>260.06010000000003</v>
      </c>
      <c r="P48" s="90">
        <v>7.9000000000000008E-3</v>
      </c>
    </row>
    <row r="49" spans="4:16" x14ac:dyDescent="0.2">
      <c r="D49" s="13"/>
      <c r="E49" s="3" t="s">
        <v>33</v>
      </c>
      <c r="F49" s="6">
        <v>1094</v>
      </c>
      <c r="G49" s="108">
        <v>0.124</v>
      </c>
      <c r="H49" s="6">
        <v>2990</v>
      </c>
      <c r="I49" s="47">
        <v>7.7799999999999994E-2</v>
      </c>
      <c r="K49" s="65"/>
      <c r="L49" s="3" t="s">
        <v>33</v>
      </c>
      <c r="M49" s="86">
        <f>N49*M6</f>
        <v>720.45420000000001</v>
      </c>
      <c r="N49" s="85">
        <v>8.2299999999999998E-2</v>
      </c>
      <c r="O49" s="86">
        <f>P49*O6</f>
        <v>2080.4808000000003</v>
      </c>
      <c r="P49" s="90">
        <v>6.3200000000000006E-2</v>
      </c>
    </row>
    <row r="50" spans="4:16" x14ac:dyDescent="0.2">
      <c r="D50" s="13"/>
      <c r="E50" s="3" t="s">
        <v>37</v>
      </c>
      <c r="F50" s="6">
        <v>1878</v>
      </c>
      <c r="G50" s="108">
        <v>0.21290000000000001</v>
      </c>
      <c r="H50" s="6">
        <v>5477</v>
      </c>
      <c r="I50" s="47">
        <v>0.14249999999999999</v>
      </c>
      <c r="K50" s="65"/>
      <c r="L50" s="3" t="s">
        <v>37</v>
      </c>
      <c r="M50" s="86">
        <f>N50*M6</f>
        <v>1823.4582</v>
      </c>
      <c r="N50" s="85">
        <v>0.20830000000000001</v>
      </c>
      <c r="O50" s="86">
        <f>P50*O6</f>
        <v>5138.6558999999997</v>
      </c>
      <c r="P50" s="90">
        <v>0.15609999999999999</v>
      </c>
    </row>
    <row r="51" spans="4:16" x14ac:dyDescent="0.2">
      <c r="D51" s="13"/>
      <c r="E51" s="3" t="s">
        <v>38</v>
      </c>
      <c r="F51" s="6">
        <v>155</v>
      </c>
      <c r="G51" s="108">
        <v>1.7600000000000001E-2</v>
      </c>
      <c r="H51" s="6">
        <v>343</v>
      </c>
      <c r="I51" s="47">
        <v>8.8999999999999999E-3</v>
      </c>
      <c r="K51" s="65"/>
      <c r="L51" s="3" t="s">
        <v>38</v>
      </c>
      <c r="M51" s="86">
        <f>N51*M6</f>
        <v>89.290800000000004</v>
      </c>
      <c r="N51" s="85">
        <v>1.0200000000000001E-2</v>
      </c>
      <c r="O51" s="86">
        <f>P51*O6</f>
        <v>230.43299999999999</v>
      </c>
      <c r="P51" s="90">
        <v>7.0000000000000001E-3</v>
      </c>
    </row>
    <row r="52" spans="4:16" x14ac:dyDescent="0.2">
      <c r="D52" s="13"/>
      <c r="E52" s="3" t="s">
        <v>39</v>
      </c>
      <c r="F52" s="6">
        <v>4</v>
      </c>
      <c r="G52" s="108">
        <v>5.0000000000000001E-4</v>
      </c>
      <c r="H52" s="6">
        <v>8</v>
      </c>
      <c r="I52" s="47">
        <v>2.0000000000000001E-4</v>
      </c>
      <c r="K52" s="65"/>
      <c r="L52" s="3" t="s">
        <v>39</v>
      </c>
      <c r="M52" s="86">
        <f>N52*M6</f>
        <v>3.0638999999999998</v>
      </c>
      <c r="N52" s="85">
        <v>3.5E-4</v>
      </c>
      <c r="O52" s="86">
        <f>P52*O6</f>
        <v>8.229750000000001</v>
      </c>
      <c r="P52" s="90">
        <v>2.5000000000000001E-4</v>
      </c>
    </row>
    <row r="53" spans="4:16" x14ac:dyDescent="0.2">
      <c r="D53" s="13"/>
      <c r="E53" s="3" t="s">
        <v>40</v>
      </c>
      <c r="F53" s="6">
        <v>125</v>
      </c>
      <c r="G53" s="108">
        <v>1.4200000000000001E-2</v>
      </c>
      <c r="H53" s="6">
        <v>384</v>
      </c>
      <c r="I53" s="47">
        <v>0.01</v>
      </c>
      <c r="K53" s="65"/>
      <c r="L53" s="3" t="s">
        <v>40</v>
      </c>
      <c r="M53" s="86">
        <f>N53*M6</f>
        <v>132.18540000000002</v>
      </c>
      <c r="N53" s="85">
        <v>1.5100000000000001E-2</v>
      </c>
      <c r="O53" s="86">
        <f>P53*O6</f>
        <v>348.94139999999999</v>
      </c>
      <c r="P53" s="90">
        <v>1.06E-2</v>
      </c>
    </row>
    <row r="54" spans="4:16" x14ac:dyDescent="0.2">
      <c r="D54" s="13"/>
      <c r="E54" s="3" t="s">
        <v>41</v>
      </c>
      <c r="F54" s="6">
        <v>1</v>
      </c>
      <c r="G54" s="108">
        <v>1E-4</v>
      </c>
      <c r="H54" s="6">
        <v>3</v>
      </c>
      <c r="I54" s="47">
        <v>1E-4</v>
      </c>
      <c r="K54" s="65"/>
      <c r="L54" s="3" t="s">
        <v>41</v>
      </c>
      <c r="M54" s="86">
        <f>N54*M6</f>
        <v>1.4881800000000001</v>
      </c>
      <c r="N54" s="85">
        <v>1.7000000000000001E-4</v>
      </c>
      <c r="O54" s="86">
        <f>P54*O6</f>
        <v>4.2794699999999999</v>
      </c>
      <c r="P54" s="90">
        <v>1.2999999999999999E-4</v>
      </c>
    </row>
    <row r="55" spans="4:16" x14ac:dyDescent="0.2">
      <c r="D55" s="13"/>
      <c r="E55" s="3" t="s">
        <v>9</v>
      </c>
      <c r="F55" s="79">
        <v>4</v>
      </c>
      <c r="G55" s="109">
        <v>5.0000000000000001E-4</v>
      </c>
      <c r="H55" s="6">
        <v>25</v>
      </c>
      <c r="I55" s="47">
        <v>6.9999999999999999E-4</v>
      </c>
      <c r="K55" s="65"/>
      <c r="L55" s="3" t="s">
        <v>9</v>
      </c>
      <c r="M55" s="86">
        <f>N55*M6</f>
        <v>5.6901000000000002</v>
      </c>
      <c r="N55" s="85">
        <v>6.4999999999999997E-4</v>
      </c>
      <c r="O55" s="86">
        <f>P55*O6</f>
        <v>15.14274</v>
      </c>
      <c r="P55" s="90">
        <v>4.6000000000000001E-4</v>
      </c>
    </row>
    <row r="56" spans="4:16" x14ac:dyDescent="0.2">
      <c r="D56" s="11"/>
      <c r="E56" s="5" t="s">
        <v>8</v>
      </c>
      <c r="F56" s="4">
        <v>372</v>
      </c>
      <c r="G56" s="110">
        <v>4.2200000000000001E-2</v>
      </c>
      <c r="H56" s="4">
        <v>1336</v>
      </c>
      <c r="I56" s="49">
        <v>3.4799999999999998E-2</v>
      </c>
      <c r="K56" s="67"/>
      <c r="L56" s="5" t="s">
        <v>8</v>
      </c>
      <c r="M56" s="92">
        <f>N56*M6</f>
        <v>207.46979999999999</v>
      </c>
      <c r="N56" s="91">
        <v>2.3699999999999999E-2</v>
      </c>
      <c r="O56" s="92">
        <f>P56*O6</f>
        <v>832.85069999999996</v>
      </c>
      <c r="P56" s="89">
        <v>2.53E-2</v>
      </c>
    </row>
    <row r="58" spans="4:16" ht="49" customHeight="1" x14ac:dyDescent="0.2">
      <c r="D58" s="31" t="s">
        <v>63</v>
      </c>
      <c r="E58" s="8"/>
      <c r="F58" s="8"/>
      <c r="G58" s="8"/>
      <c r="H58" s="8"/>
      <c r="I58" s="8"/>
      <c r="K58" s="31" t="s">
        <v>63</v>
      </c>
      <c r="L58" s="8"/>
      <c r="M58" s="8"/>
      <c r="N58" s="8"/>
      <c r="O58" s="8"/>
      <c r="P58" s="8"/>
    </row>
  </sheetData>
  <mergeCells count="8">
    <mergeCell ref="D58:I58"/>
    <mergeCell ref="K58:P58"/>
    <mergeCell ref="D2:I2"/>
    <mergeCell ref="F4:G4"/>
    <mergeCell ref="H4:I4"/>
    <mergeCell ref="K2:P2"/>
    <mergeCell ref="M4:N4"/>
    <mergeCell ref="O4:P4"/>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4FB0-28B5-204D-A127-D8C4962BC961}">
  <dimension ref="D5:P60"/>
  <sheetViews>
    <sheetView tabSelected="1" topLeftCell="C3" zoomScale="150" workbookViewId="0">
      <selection activeCell="E10" sqref="E10"/>
    </sheetView>
  </sheetViews>
  <sheetFormatPr baseColWidth="10" defaultRowHeight="16" x14ac:dyDescent="0.2"/>
  <cols>
    <col min="4" max="4" width="18" customWidth="1"/>
    <col min="5" max="5" width="21.6640625" customWidth="1"/>
  </cols>
  <sheetData>
    <row r="5" spans="4:16" x14ac:dyDescent="0.2">
      <c r="D5" s="98" t="s">
        <v>65</v>
      </c>
      <c r="E5" s="99"/>
      <c r="F5" s="99"/>
      <c r="G5" s="99"/>
      <c r="H5" s="99"/>
      <c r="I5" s="99"/>
      <c r="J5" s="99"/>
      <c r="K5" s="99"/>
      <c r="L5" s="99"/>
      <c r="M5" s="99"/>
      <c r="N5" s="99"/>
      <c r="O5" s="100"/>
    </row>
    <row r="6" spans="4:16" x14ac:dyDescent="0.2">
      <c r="D6" s="65"/>
      <c r="E6" s="96"/>
      <c r="F6" s="101" t="s">
        <v>16</v>
      </c>
      <c r="G6" s="101"/>
      <c r="H6" s="101" t="s">
        <v>17</v>
      </c>
      <c r="I6" s="101"/>
      <c r="J6" s="101" t="s">
        <v>18</v>
      </c>
      <c r="K6" s="101"/>
      <c r="L6" s="101" t="s">
        <v>19</v>
      </c>
      <c r="M6" s="101"/>
      <c r="N6" s="101" t="s">
        <v>64</v>
      </c>
      <c r="O6" s="107"/>
    </row>
    <row r="7" spans="4:16" x14ac:dyDescent="0.2">
      <c r="D7" s="67"/>
      <c r="E7" s="72"/>
      <c r="F7" s="102" t="s">
        <v>25</v>
      </c>
      <c r="G7" s="102" t="s">
        <v>35</v>
      </c>
      <c r="H7" s="102" t="s">
        <v>25</v>
      </c>
      <c r="I7" s="102" t="s">
        <v>35</v>
      </c>
      <c r="J7" s="63" t="s">
        <v>25</v>
      </c>
      <c r="K7" s="63" t="s">
        <v>35</v>
      </c>
      <c r="L7" s="63" t="s">
        <v>25</v>
      </c>
      <c r="M7" s="63" t="s">
        <v>35</v>
      </c>
      <c r="N7" s="63" t="s">
        <v>25</v>
      </c>
      <c r="O7" s="70" t="s">
        <v>35</v>
      </c>
    </row>
    <row r="8" spans="4:16" x14ac:dyDescent="0.2">
      <c r="D8" s="71" t="s">
        <v>0</v>
      </c>
      <c r="E8" s="68"/>
      <c r="F8" s="104">
        <v>2093.9567999999999</v>
      </c>
      <c r="G8" s="103">
        <v>1</v>
      </c>
      <c r="H8" s="106">
        <v>2254.1550000000002</v>
      </c>
      <c r="I8" s="42">
        <v>1</v>
      </c>
      <c r="J8" s="106">
        <v>1967.0237999999999</v>
      </c>
      <c r="K8" s="42">
        <v>1</v>
      </c>
      <c r="L8" s="106">
        <v>2136.8514</v>
      </c>
      <c r="M8" s="42">
        <v>1</v>
      </c>
      <c r="N8" s="106">
        <v>327.39960000000002</v>
      </c>
      <c r="O8" s="46">
        <v>1</v>
      </c>
      <c r="P8" s="41"/>
    </row>
    <row r="9" spans="4:16" x14ac:dyDescent="0.2">
      <c r="D9" s="65" t="s">
        <v>29</v>
      </c>
      <c r="E9" s="66"/>
      <c r="F9" s="64"/>
      <c r="G9" s="95"/>
      <c r="O9" s="23"/>
    </row>
    <row r="10" spans="4:16" x14ac:dyDescent="0.2">
      <c r="D10" s="65"/>
      <c r="E10" s="3" t="s">
        <v>30</v>
      </c>
      <c r="F10" s="86">
        <f>G10*F8</f>
        <v>322.67874287999996</v>
      </c>
      <c r="G10" s="43">
        <v>0.15409999999999999</v>
      </c>
      <c r="H10" s="41">
        <f>I10*H8</f>
        <v>322.34416499999998</v>
      </c>
      <c r="I10" s="43">
        <v>0.14299999999999999</v>
      </c>
      <c r="J10" s="41">
        <f>K10*J8</f>
        <v>241.74722501999997</v>
      </c>
      <c r="K10" s="43">
        <v>0.1229</v>
      </c>
      <c r="L10" s="41">
        <f>M10*L8</f>
        <v>297.23602973999999</v>
      </c>
      <c r="M10" s="43">
        <v>0.1391</v>
      </c>
      <c r="N10" s="41">
        <f>O10*N8</f>
        <v>6.1878524400000003</v>
      </c>
      <c r="O10" s="47">
        <v>1.89E-2</v>
      </c>
    </row>
    <row r="11" spans="4:16" x14ac:dyDescent="0.2">
      <c r="D11" s="65"/>
      <c r="E11" s="3" t="s">
        <v>61</v>
      </c>
      <c r="F11" s="86">
        <f>G11*F8</f>
        <v>216.09634176</v>
      </c>
      <c r="G11" s="43">
        <v>0.1032</v>
      </c>
      <c r="H11" s="41">
        <f>I11*H8</f>
        <v>245.25206400000002</v>
      </c>
      <c r="I11" s="43">
        <v>0.10879999999999999</v>
      </c>
      <c r="J11" s="41">
        <f>K11*J8</f>
        <v>198.86610617999997</v>
      </c>
      <c r="K11" s="43">
        <v>0.1011</v>
      </c>
      <c r="L11" s="41">
        <f>M11*L8</f>
        <v>238.47261624000001</v>
      </c>
      <c r="M11" s="43">
        <v>0.1116</v>
      </c>
      <c r="N11" s="41">
        <f>O11*N8</f>
        <v>5.27113356</v>
      </c>
      <c r="O11" s="47">
        <v>1.61E-2</v>
      </c>
    </row>
    <row r="12" spans="4:16" x14ac:dyDescent="0.2">
      <c r="D12" s="65"/>
      <c r="E12" s="3" t="s">
        <v>62</v>
      </c>
      <c r="F12" s="86">
        <f>G12*F8</f>
        <v>205.62655776</v>
      </c>
      <c r="G12" s="43">
        <v>9.8199999999999996E-2</v>
      </c>
      <c r="H12" s="41">
        <f>I12*H8</f>
        <v>239.84209200000001</v>
      </c>
      <c r="I12" s="43">
        <v>0.10639999999999999</v>
      </c>
      <c r="J12" s="41">
        <f>K12*J8</f>
        <v>192.76833239999999</v>
      </c>
      <c r="K12" s="43">
        <v>9.8000000000000004E-2</v>
      </c>
      <c r="L12" s="41">
        <f>M12*L8</f>
        <v>234.19891344000001</v>
      </c>
      <c r="M12" s="43">
        <v>0.1096</v>
      </c>
      <c r="N12" s="41">
        <f>O12*N8</f>
        <v>5.1074337600000002</v>
      </c>
      <c r="O12" s="47">
        <v>1.5599999999999999E-2</v>
      </c>
    </row>
    <row r="13" spans="4:16" x14ac:dyDescent="0.2">
      <c r="D13" s="65"/>
      <c r="E13" s="3"/>
      <c r="F13" s="86"/>
      <c r="G13" s="43"/>
      <c r="H13" s="41"/>
      <c r="I13" s="43"/>
      <c r="J13" s="41"/>
      <c r="K13" s="43"/>
      <c r="L13" s="41"/>
      <c r="M13" s="43"/>
      <c r="N13" s="41"/>
      <c r="O13" s="47"/>
    </row>
    <row r="14" spans="4:16" x14ac:dyDescent="0.2">
      <c r="D14" s="65"/>
      <c r="E14" s="3" t="s">
        <v>31</v>
      </c>
      <c r="F14" s="86">
        <f>G14*F8</f>
        <v>168.98231375999998</v>
      </c>
      <c r="G14" s="43">
        <v>8.0699999999999994E-2</v>
      </c>
      <c r="H14" s="41">
        <f>I14*H8</f>
        <v>205.80435150000002</v>
      </c>
      <c r="I14" s="43">
        <v>9.1300000000000006E-2</v>
      </c>
      <c r="J14" s="41">
        <f>K14*J8</f>
        <v>159.72233255999998</v>
      </c>
      <c r="K14" s="43">
        <v>8.1199999999999994E-2</v>
      </c>
      <c r="L14" s="41">
        <f>M14*L8</f>
        <v>192.53031114000001</v>
      </c>
      <c r="M14" s="43">
        <v>9.01E-2</v>
      </c>
      <c r="N14" s="41">
        <f>O14*N8</f>
        <v>4.4526345599999999</v>
      </c>
      <c r="O14" s="47">
        <v>1.3599999999999999E-2</v>
      </c>
    </row>
    <row r="15" spans="4:16" x14ac:dyDescent="0.2">
      <c r="D15" s="65"/>
      <c r="E15" s="3" t="s">
        <v>32</v>
      </c>
      <c r="F15" s="86">
        <f>G15*F8</f>
        <v>62.399912639999997</v>
      </c>
      <c r="G15" s="43">
        <v>2.98E-2</v>
      </c>
      <c r="H15" s="41">
        <f>I15*H8</f>
        <v>65.821326000000013</v>
      </c>
      <c r="I15" s="43">
        <v>2.92E-2</v>
      </c>
      <c r="J15" s="41">
        <f>K15*J8</f>
        <v>63.14146397999999</v>
      </c>
      <c r="K15" s="43">
        <v>3.2099999999999997E-2</v>
      </c>
      <c r="L15" s="41">
        <f>M15*L8</f>
        <v>80.772982920000004</v>
      </c>
      <c r="M15" s="43">
        <v>3.78E-2</v>
      </c>
      <c r="N15" s="41">
        <f>O15*N8</f>
        <v>1.5715180799999999</v>
      </c>
      <c r="O15" s="47">
        <v>4.7999999999999996E-3</v>
      </c>
    </row>
    <row r="16" spans="4:16" x14ac:dyDescent="0.2">
      <c r="D16" s="65"/>
      <c r="E16" s="3" t="s">
        <v>36</v>
      </c>
      <c r="F16" s="86">
        <f>G16*F8</f>
        <v>5.2348920000000003</v>
      </c>
      <c r="G16" s="43">
        <v>2.5000000000000001E-3</v>
      </c>
      <c r="H16" s="41">
        <f>I16*H8</f>
        <v>4.0574789999999998</v>
      </c>
      <c r="I16" s="43">
        <v>1.8E-3</v>
      </c>
      <c r="J16" s="41">
        <f>K16*J8</f>
        <v>2.9505357000000001</v>
      </c>
      <c r="K16" s="43">
        <v>1.5E-3</v>
      </c>
      <c r="L16" s="41">
        <f>M16*L8</f>
        <v>9.4021461600000009</v>
      </c>
      <c r="M16" s="43">
        <v>4.4000000000000003E-3</v>
      </c>
      <c r="N16" s="41">
        <f>O16*N8</f>
        <v>0.18661777200000002</v>
      </c>
      <c r="O16" s="47">
        <v>5.6999999999999998E-4</v>
      </c>
    </row>
    <row r="17" spans="4:15" x14ac:dyDescent="0.2">
      <c r="D17" s="65"/>
      <c r="E17" s="3" t="s">
        <v>33</v>
      </c>
      <c r="F17" s="86">
        <f>G17*F8</f>
        <v>45.648258239999997</v>
      </c>
      <c r="G17" s="43">
        <v>2.18E-2</v>
      </c>
      <c r="H17" s="41">
        <f>I17*H8</f>
        <v>46.661008500000001</v>
      </c>
      <c r="I17" s="43">
        <v>2.07E-2</v>
      </c>
      <c r="J17" s="41">
        <f>K17*J8</f>
        <v>42.487714080000003</v>
      </c>
      <c r="K17" s="43">
        <v>2.1600000000000001E-2</v>
      </c>
      <c r="L17" s="41">
        <f>M17*L8</f>
        <v>45.728619959999996</v>
      </c>
      <c r="M17" s="43">
        <v>2.1399999999999999E-2</v>
      </c>
      <c r="N17" s="41">
        <f>O17*N8</f>
        <v>0.98219880000000004</v>
      </c>
      <c r="O17" s="47">
        <v>3.0000000000000001E-3</v>
      </c>
    </row>
    <row r="18" spans="4:15" x14ac:dyDescent="0.2">
      <c r="D18" s="65"/>
      <c r="E18" s="3" t="s">
        <v>37</v>
      </c>
      <c r="F18" s="86">
        <f>G18*F8</f>
        <v>163.95681743999998</v>
      </c>
      <c r="G18" s="43">
        <v>7.8299999999999995E-2</v>
      </c>
      <c r="H18" s="41">
        <f>I18*H8</f>
        <v>130.29015900000002</v>
      </c>
      <c r="I18" s="43">
        <v>5.7799999999999997E-2</v>
      </c>
      <c r="J18" s="41">
        <f>K18*J8</f>
        <v>76.517225819999993</v>
      </c>
      <c r="K18" s="43">
        <v>3.8899999999999997E-2</v>
      </c>
      <c r="L18" s="41">
        <f>M18*L8</f>
        <v>106.62888486</v>
      </c>
      <c r="M18" s="43">
        <v>4.99E-2</v>
      </c>
      <c r="N18" s="41">
        <f>O18*N8</f>
        <v>1.8006978</v>
      </c>
      <c r="O18" s="47">
        <v>5.4999999999999997E-3</v>
      </c>
    </row>
    <row r="19" spans="4:15" x14ac:dyDescent="0.2">
      <c r="D19" s="65"/>
      <c r="E19" s="3" t="s">
        <v>38</v>
      </c>
      <c r="F19" s="86">
        <f>G19*F8</f>
        <v>4.1879135999999999</v>
      </c>
      <c r="G19" s="43">
        <v>2E-3</v>
      </c>
      <c r="H19" s="41">
        <f>I19*H8</f>
        <v>8.1149579999999997</v>
      </c>
      <c r="I19" s="43">
        <v>3.5999999999999999E-3</v>
      </c>
      <c r="J19" s="41">
        <f>K19*J8</f>
        <v>8.0647975800000005</v>
      </c>
      <c r="K19" s="43">
        <v>4.1000000000000003E-3</v>
      </c>
      <c r="L19" s="41">
        <f>M19*L8</f>
        <v>8.5474055999999994</v>
      </c>
      <c r="M19" s="43">
        <v>4.0000000000000001E-3</v>
      </c>
      <c r="N19" s="41">
        <f>O19*N8</f>
        <v>5.8931928000000008E-2</v>
      </c>
      <c r="O19" s="47">
        <v>1.8000000000000001E-4</v>
      </c>
    </row>
    <row r="20" spans="4:15" x14ac:dyDescent="0.2">
      <c r="D20" s="65"/>
      <c r="E20" s="3" t="s">
        <v>39</v>
      </c>
      <c r="F20" s="86">
        <f>G20*F8</f>
        <v>0.1172615808</v>
      </c>
      <c r="G20" s="43">
        <v>5.5999999999999999E-5</v>
      </c>
      <c r="H20" s="41">
        <f>I20*H8</f>
        <v>1.9160317500000001</v>
      </c>
      <c r="I20" s="43">
        <v>8.4999999999999995E-4</v>
      </c>
      <c r="J20" s="41">
        <f>K20*J8</f>
        <v>1.9670238E-2</v>
      </c>
      <c r="K20" s="43">
        <v>1.0000000000000001E-5</v>
      </c>
      <c r="L20" s="41">
        <f>M20*L8</f>
        <v>5.98318392E-2</v>
      </c>
      <c r="M20" s="43">
        <v>2.8E-5</v>
      </c>
      <c r="N20" s="41">
        <f>O20*N8</f>
        <v>0</v>
      </c>
      <c r="O20" s="47">
        <v>0</v>
      </c>
    </row>
    <row r="21" spans="4:15" x14ac:dyDescent="0.2">
      <c r="D21" s="65"/>
      <c r="E21" s="3" t="s">
        <v>40</v>
      </c>
      <c r="F21" s="86">
        <f>G21*F8</f>
        <v>18.845611199999997</v>
      </c>
      <c r="G21" s="43">
        <v>8.9999999999999993E-3</v>
      </c>
      <c r="H21" s="41">
        <f>I21*H8</f>
        <v>13.299514500000001</v>
      </c>
      <c r="I21" s="43">
        <v>5.8999999999999999E-3</v>
      </c>
      <c r="J21" s="41">
        <f>K21*J8</f>
        <v>6.8845833000000001</v>
      </c>
      <c r="K21" s="43">
        <v>3.5000000000000001E-3</v>
      </c>
      <c r="L21" s="41">
        <f>M21*L8</f>
        <v>14.31690438</v>
      </c>
      <c r="M21" s="43">
        <v>6.7000000000000002E-3</v>
      </c>
      <c r="N21" s="41">
        <f>O21*N8</f>
        <v>0.32085160800000001</v>
      </c>
      <c r="O21" s="47">
        <v>9.7999999999999997E-4</v>
      </c>
    </row>
    <row r="22" spans="4:15" x14ac:dyDescent="0.2">
      <c r="D22" s="65"/>
      <c r="E22" s="3" t="s">
        <v>41</v>
      </c>
      <c r="F22" s="86">
        <f>G22*F8</f>
        <v>5.8630790399999997</v>
      </c>
      <c r="G22" s="43">
        <v>2.8E-3</v>
      </c>
      <c r="H22" s="41">
        <f>I22*H8</f>
        <v>2.7049859999999999</v>
      </c>
      <c r="I22" s="43">
        <v>1.1999999999999999E-3</v>
      </c>
      <c r="J22" s="41">
        <f>K22*J8</f>
        <v>0.31472380799999999</v>
      </c>
      <c r="K22" s="43">
        <v>1.6000000000000001E-4</v>
      </c>
      <c r="L22" s="41">
        <f>M22*L8</f>
        <v>0.61968690599999998</v>
      </c>
      <c r="M22" s="43">
        <v>2.9E-4</v>
      </c>
      <c r="N22" s="41">
        <f>O22*N8</f>
        <v>0</v>
      </c>
      <c r="O22" s="47">
        <v>0</v>
      </c>
    </row>
    <row r="23" spans="4:15" x14ac:dyDescent="0.2">
      <c r="D23" s="65"/>
      <c r="E23" s="3" t="s">
        <v>9</v>
      </c>
      <c r="F23" s="86">
        <f>G23*F8</f>
        <v>0.23033524799999999</v>
      </c>
      <c r="G23" s="43">
        <v>1.1E-4</v>
      </c>
      <c r="H23" s="41">
        <f>I23*H8</f>
        <v>0</v>
      </c>
      <c r="I23" s="43">
        <v>0</v>
      </c>
      <c r="J23" s="41">
        <f>K23*J8</f>
        <v>0</v>
      </c>
      <c r="K23" s="43">
        <v>0</v>
      </c>
      <c r="L23" s="41">
        <f>M23*L8</f>
        <v>1.8163236899999999</v>
      </c>
      <c r="M23" s="43">
        <v>8.4999999999999995E-4</v>
      </c>
      <c r="N23" s="41">
        <f>O23*N8</f>
        <v>0</v>
      </c>
      <c r="O23" s="47">
        <v>0</v>
      </c>
    </row>
    <row r="24" spans="4:15" x14ac:dyDescent="0.2">
      <c r="D24" s="65"/>
      <c r="E24" s="3" t="s">
        <v>8</v>
      </c>
      <c r="F24" s="86">
        <f>G24*F8</f>
        <v>26.80264704</v>
      </c>
      <c r="G24" s="43">
        <v>1.2800000000000001E-2</v>
      </c>
      <c r="H24" s="41">
        <f>I24*H8</f>
        <v>9.6928665000000009</v>
      </c>
      <c r="I24" s="43">
        <v>4.3E-3</v>
      </c>
      <c r="J24" s="41">
        <f>K24*J8</f>
        <v>10.03182138</v>
      </c>
      <c r="K24" s="43">
        <v>5.1000000000000004E-3</v>
      </c>
      <c r="L24" s="41">
        <f>M24*L8</f>
        <v>14.10321924</v>
      </c>
      <c r="M24" s="43">
        <v>6.6E-3</v>
      </c>
      <c r="N24" s="41">
        <f>O24*N8</f>
        <v>1.5715180800000002E-2</v>
      </c>
      <c r="O24" s="47">
        <v>4.8000000000000001E-5</v>
      </c>
    </row>
    <row r="25" spans="4:15" x14ac:dyDescent="0.2">
      <c r="D25" s="65"/>
      <c r="E25" s="3"/>
      <c r="F25" s="64"/>
      <c r="G25" s="95"/>
      <c r="O25" s="3"/>
    </row>
    <row r="26" spans="4:15" x14ac:dyDescent="0.2">
      <c r="D26" s="65" t="s">
        <v>34</v>
      </c>
      <c r="E26" s="3"/>
      <c r="F26" s="64"/>
      <c r="G26" s="95"/>
      <c r="O26" s="3"/>
    </row>
    <row r="27" spans="4:15" x14ac:dyDescent="0.2">
      <c r="D27" s="65"/>
      <c r="E27" s="3" t="s">
        <v>60</v>
      </c>
      <c r="F27" s="86">
        <f>G27*F8</f>
        <v>210.86144976</v>
      </c>
      <c r="G27" s="95">
        <v>0.1007</v>
      </c>
      <c r="H27" s="41">
        <f>I27*H8</f>
        <v>207.60767550000003</v>
      </c>
      <c r="I27" s="43">
        <v>9.2100000000000001E-2</v>
      </c>
      <c r="J27" s="41">
        <f>K27*J8</f>
        <v>168.77064203999998</v>
      </c>
      <c r="K27" s="43">
        <v>8.5800000000000001E-2</v>
      </c>
      <c r="L27" s="41">
        <f>M27*L8</f>
        <v>187.40186778</v>
      </c>
      <c r="M27" s="43">
        <v>8.77E-2</v>
      </c>
      <c r="N27" s="41">
        <f>O27*N8</f>
        <v>4.2561948000000003</v>
      </c>
      <c r="O27" s="47">
        <v>1.2999999999999999E-2</v>
      </c>
    </row>
    <row r="28" spans="4:15" x14ac:dyDescent="0.2">
      <c r="D28" s="65"/>
      <c r="E28" s="3" t="s">
        <v>61</v>
      </c>
      <c r="F28" s="86">
        <f>G28*F8</f>
        <v>162.49104768000001</v>
      </c>
      <c r="G28" s="95">
        <v>7.7600000000000002E-2</v>
      </c>
      <c r="H28" s="41">
        <f>I28*H8</f>
        <v>180.783231</v>
      </c>
      <c r="I28" s="43">
        <v>8.0199999999999994E-2</v>
      </c>
      <c r="J28" s="41">
        <f>K28*J8</f>
        <v>148.11689214</v>
      </c>
      <c r="K28" s="43">
        <v>7.5300000000000006E-2</v>
      </c>
      <c r="L28" s="41">
        <f>M28*L8</f>
        <v>163.68281723999999</v>
      </c>
      <c r="M28" s="43">
        <v>7.6600000000000001E-2</v>
      </c>
      <c r="N28" s="41">
        <f>O28*N8</f>
        <v>3.8305753200000003</v>
      </c>
      <c r="O28" s="47">
        <v>1.17E-2</v>
      </c>
    </row>
    <row r="29" spans="4:15" x14ac:dyDescent="0.2">
      <c r="D29" s="65"/>
      <c r="E29" s="3" t="s">
        <v>62</v>
      </c>
      <c r="F29" s="86">
        <f>G29*F8</f>
        <v>148.46153712</v>
      </c>
      <c r="G29" s="95">
        <v>7.0900000000000005E-2</v>
      </c>
      <c r="H29" s="41">
        <f>I29*H8</f>
        <v>173.56993500000002</v>
      </c>
      <c r="I29" s="43">
        <v>7.6999999999999999E-2</v>
      </c>
      <c r="J29" s="41">
        <f>K29*J8</f>
        <v>142.01911835999999</v>
      </c>
      <c r="K29" s="43">
        <v>7.22E-2</v>
      </c>
      <c r="L29" s="41">
        <f>M29*L8</f>
        <v>155.34909678</v>
      </c>
      <c r="M29" s="43">
        <v>7.2700000000000001E-2</v>
      </c>
      <c r="N29" s="41">
        <f>O29*N8</f>
        <v>3.6013956</v>
      </c>
      <c r="O29" s="47">
        <v>1.0999999999999999E-2</v>
      </c>
    </row>
    <row r="30" spans="4:15" x14ac:dyDescent="0.2">
      <c r="D30" s="65"/>
      <c r="E30" s="3"/>
      <c r="F30" s="86">
        <f>G30*F8</f>
        <v>0</v>
      </c>
      <c r="G30" s="95"/>
      <c r="H30" s="41"/>
      <c r="I30" s="43"/>
      <c r="J30" s="41"/>
      <c r="K30" s="43"/>
      <c r="L30" s="41"/>
      <c r="M30" s="43"/>
      <c r="N30" s="41"/>
      <c r="O30" s="47"/>
    </row>
    <row r="31" spans="4:15" x14ac:dyDescent="0.2">
      <c r="D31" s="65"/>
      <c r="E31" s="3" t="s">
        <v>31</v>
      </c>
      <c r="F31" s="86">
        <f>G31*F8</f>
        <v>116.63339375999999</v>
      </c>
      <c r="G31" s="95">
        <v>5.57E-2</v>
      </c>
      <c r="H31" s="41">
        <f>I31*H8</f>
        <v>150.57755400000002</v>
      </c>
      <c r="I31" s="43">
        <v>6.6799999999999998E-2</v>
      </c>
      <c r="J31" s="41">
        <f>K31*J8</f>
        <v>118.80823752000001</v>
      </c>
      <c r="K31" s="43">
        <v>6.0400000000000002E-2</v>
      </c>
      <c r="L31" s="41">
        <f>M31*L8</f>
        <v>126.50160288000001</v>
      </c>
      <c r="M31" s="43">
        <v>5.9200000000000003E-2</v>
      </c>
      <c r="N31" s="41">
        <f>O31*N8</f>
        <v>2.6519367599999999</v>
      </c>
      <c r="O31" s="47">
        <v>8.0999999999999996E-3</v>
      </c>
    </row>
    <row r="32" spans="4:15" x14ac:dyDescent="0.2">
      <c r="D32" s="65"/>
      <c r="E32" s="3" t="s">
        <v>32</v>
      </c>
      <c r="F32" s="86">
        <f>G32*F8</f>
        <v>30.990560640000002</v>
      </c>
      <c r="G32" s="95">
        <v>1.4800000000000001E-2</v>
      </c>
      <c r="H32" s="41">
        <f>I32*H8</f>
        <v>29.754846000000004</v>
      </c>
      <c r="I32" s="43">
        <v>1.32E-2</v>
      </c>
      <c r="J32" s="41">
        <f>K32*J8</f>
        <v>29.308654619999999</v>
      </c>
      <c r="K32" s="43">
        <v>1.49E-2</v>
      </c>
      <c r="L32" s="41">
        <f>M32*L8</f>
        <v>40.600176599999998</v>
      </c>
      <c r="M32" s="43">
        <v>1.9E-2</v>
      </c>
      <c r="N32" s="41">
        <f>O32*N8</f>
        <v>0.98219880000000004</v>
      </c>
      <c r="O32" s="47">
        <v>3.0000000000000001E-3</v>
      </c>
    </row>
    <row r="33" spans="4:15" x14ac:dyDescent="0.2">
      <c r="D33" s="65"/>
      <c r="E33" s="3" t="s">
        <v>36</v>
      </c>
      <c r="F33" s="86">
        <f>G33*F8</f>
        <v>2.9315395199999998</v>
      </c>
      <c r="G33" s="95">
        <v>1.4E-3</v>
      </c>
      <c r="H33" s="41">
        <f>I33*H8</f>
        <v>2.7049859999999999</v>
      </c>
      <c r="I33" s="43">
        <v>1.1999999999999999E-3</v>
      </c>
      <c r="J33" s="41">
        <f>K33*J8</f>
        <v>0.72779880600000002</v>
      </c>
      <c r="K33" s="43">
        <v>3.6999999999999999E-4</v>
      </c>
      <c r="L33" s="41">
        <f>M33*L8</f>
        <v>3.2052771</v>
      </c>
      <c r="M33" s="43">
        <v>1.5E-3</v>
      </c>
      <c r="N33" s="41">
        <f>O33*N8</f>
        <v>8.5123896000000004E-2</v>
      </c>
      <c r="O33" s="47">
        <v>2.5999999999999998E-4</v>
      </c>
    </row>
    <row r="34" spans="4:15" x14ac:dyDescent="0.2">
      <c r="D34" s="65"/>
      <c r="E34" s="3" t="s">
        <v>33</v>
      </c>
      <c r="F34" s="86">
        <f>G34*F8</f>
        <v>25.96506432</v>
      </c>
      <c r="G34" s="95">
        <v>1.24E-2</v>
      </c>
      <c r="H34" s="41">
        <f>I34*H8</f>
        <v>25.471951499999999</v>
      </c>
      <c r="I34" s="43">
        <v>1.1299999999999999E-2</v>
      </c>
      <c r="J34" s="41">
        <f>K34*J8</f>
        <v>24.194392739999998</v>
      </c>
      <c r="K34" s="43">
        <v>1.23E-2</v>
      </c>
      <c r="L34" s="41">
        <f>M34*L8</f>
        <v>15.59901522</v>
      </c>
      <c r="M34" s="43">
        <v>7.3000000000000001E-3</v>
      </c>
      <c r="N34" s="41">
        <f>O34*N8</f>
        <v>0.58931928</v>
      </c>
      <c r="O34" s="47">
        <v>1.8E-3</v>
      </c>
    </row>
    <row r="35" spans="4:15" x14ac:dyDescent="0.2">
      <c r="D35" s="65"/>
      <c r="E35" s="3" t="s">
        <v>37</v>
      </c>
      <c r="F35" s="86">
        <f>G35*F8</f>
        <v>68.053595999999999</v>
      </c>
      <c r="G35" s="95">
        <v>3.2500000000000001E-2</v>
      </c>
      <c r="H35" s="41">
        <f>I35*H8</f>
        <v>45.533931000000003</v>
      </c>
      <c r="I35" s="43">
        <v>2.0199999999999999E-2</v>
      </c>
      <c r="J35" s="41">
        <f>K35*J8</f>
        <v>29.308654619999999</v>
      </c>
      <c r="K35" s="43">
        <v>1.49E-2</v>
      </c>
      <c r="L35" s="41">
        <f>M35*L8</f>
        <v>40.386491460000002</v>
      </c>
      <c r="M35" s="43">
        <v>1.89E-2</v>
      </c>
      <c r="N35" s="41">
        <f>O35*N8</f>
        <v>0.58931928</v>
      </c>
      <c r="O35" s="47">
        <v>1.8E-3</v>
      </c>
    </row>
    <row r="36" spans="4:15" x14ac:dyDescent="0.2">
      <c r="D36" s="65"/>
      <c r="E36" s="3" t="s">
        <v>38</v>
      </c>
      <c r="F36" s="86">
        <f>G36*F8</f>
        <v>3.35033088</v>
      </c>
      <c r="G36" s="95">
        <v>1.6000000000000001E-3</v>
      </c>
      <c r="H36" s="41">
        <f>I36*H8</f>
        <v>6.7624650000000006</v>
      </c>
      <c r="I36" s="43">
        <v>3.0000000000000001E-3</v>
      </c>
      <c r="J36" s="41">
        <f>K36*J8</f>
        <v>6.4911785399999999</v>
      </c>
      <c r="K36" s="43">
        <v>3.3E-3</v>
      </c>
      <c r="L36" s="41">
        <f>M36*L8</f>
        <v>7.2652947599999997</v>
      </c>
      <c r="M36" s="43">
        <v>3.3999999999999998E-3</v>
      </c>
      <c r="N36" s="41">
        <f>O36*N8</f>
        <v>5.8931928000000008E-2</v>
      </c>
      <c r="O36" s="47">
        <v>1.8000000000000001E-4</v>
      </c>
    </row>
    <row r="37" spans="4:15" x14ac:dyDescent="0.2">
      <c r="D37" s="65"/>
      <c r="E37" s="3" t="s">
        <v>39</v>
      </c>
      <c r="F37" s="86">
        <f>G37*F8</f>
        <v>0.1172615808</v>
      </c>
      <c r="G37" s="95">
        <v>5.5999999999999999E-5</v>
      </c>
      <c r="H37" s="41">
        <f>I37*H8</f>
        <v>1.3074099000000001</v>
      </c>
      <c r="I37" s="43">
        <v>5.8E-4</v>
      </c>
      <c r="J37" s="41">
        <f>K37*J8</f>
        <v>1.9670238E-2</v>
      </c>
      <c r="K37" s="43">
        <v>1.0000000000000001E-5</v>
      </c>
      <c r="L37" s="41">
        <f>M37*L8</f>
        <v>5.98318392E-2</v>
      </c>
      <c r="M37" s="43">
        <v>2.8E-5</v>
      </c>
      <c r="N37" s="41">
        <f>O37*N8</f>
        <v>0</v>
      </c>
      <c r="O37" s="47">
        <v>0</v>
      </c>
    </row>
    <row r="38" spans="4:15" x14ac:dyDescent="0.2">
      <c r="D38" s="65"/>
      <c r="E38" s="3" t="s">
        <v>40</v>
      </c>
      <c r="F38" s="86">
        <f>G38*F8</f>
        <v>18.217424159999997</v>
      </c>
      <c r="G38" s="95">
        <v>8.6999999999999994E-3</v>
      </c>
      <c r="H38" s="41">
        <f>I38*H8</f>
        <v>10.594528500000001</v>
      </c>
      <c r="I38" s="43">
        <v>4.7000000000000002E-3</v>
      </c>
      <c r="J38" s="41">
        <f>K38*J8</f>
        <v>6.2944761600000003</v>
      </c>
      <c r="K38" s="43">
        <v>3.2000000000000002E-3</v>
      </c>
      <c r="L38" s="41">
        <f>M38*L8</f>
        <v>13.462163820000001</v>
      </c>
      <c r="M38" s="43">
        <v>6.3E-3</v>
      </c>
      <c r="N38" s="41">
        <f>O38*N8</f>
        <v>0.31102962000000001</v>
      </c>
      <c r="O38" s="47">
        <v>9.5E-4</v>
      </c>
    </row>
    <row r="39" spans="4:15" x14ac:dyDescent="0.2">
      <c r="D39" s="65"/>
      <c r="E39" s="3" t="s">
        <v>41</v>
      </c>
      <c r="F39" s="86">
        <f>G39*F8</f>
        <v>5.8630790399999997</v>
      </c>
      <c r="G39" s="95">
        <v>2.8E-3</v>
      </c>
      <c r="H39" s="41">
        <f>I39*H8</f>
        <v>2.7049859999999999</v>
      </c>
      <c r="I39" s="43">
        <v>1.1999999999999999E-3</v>
      </c>
      <c r="J39" s="41">
        <f>K39*J8</f>
        <v>0.31472380799999999</v>
      </c>
      <c r="K39" s="43">
        <v>1.6000000000000001E-4</v>
      </c>
      <c r="L39" s="41">
        <f>M39*L8</f>
        <v>0.61968690599999998</v>
      </c>
      <c r="M39" s="43">
        <v>2.9E-4</v>
      </c>
      <c r="N39" s="41">
        <f>O39*N8</f>
        <v>0</v>
      </c>
      <c r="O39" s="47">
        <v>0</v>
      </c>
    </row>
    <row r="40" spans="4:15" x14ac:dyDescent="0.2">
      <c r="D40" s="65"/>
      <c r="E40" s="3" t="s">
        <v>9</v>
      </c>
      <c r="F40" s="86">
        <f>G40*F8</f>
        <v>0.23033524799999999</v>
      </c>
      <c r="G40" s="95">
        <v>1.1E-4</v>
      </c>
      <c r="H40" s="41">
        <f>I40*H8</f>
        <v>0</v>
      </c>
      <c r="I40" s="43">
        <v>0</v>
      </c>
      <c r="J40" s="41">
        <f>K40*J8</f>
        <v>0</v>
      </c>
      <c r="K40" s="43">
        <v>0</v>
      </c>
      <c r="L40" s="41">
        <f>M40*L8</f>
        <v>0.42737028000000005</v>
      </c>
      <c r="M40" s="43">
        <v>2.0000000000000001E-4</v>
      </c>
      <c r="N40" s="41">
        <f>O40*N8</f>
        <v>0</v>
      </c>
      <c r="O40" s="47">
        <v>0</v>
      </c>
    </row>
    <row r="41" spans="4:15" x14ac:dyDescent="0.2">
      <c r="D41" s="65"/>
      <c r="E41" s="3" t="s">
        <v>8</v>
      </c>
      <c r="F41" s="86">
        <f>G41*F8</f>
        <v>0.20730172319999998</v>
      </c>
      <c r="G41" s="95">
        <v>9.8999999999999994E-5</v>
      </c>
      <c r="H41" s="41">
        <f>I41*H8</f>
        <v>7.889542500000001</v>
      </c>
      <c r="I41" s="43">
        <v>3.5000000000000001E-3</v>
      </c>
      <c r="J41" s="41">
        <f>K41*J8</f>
        <v>8.851607099999999</v>
      </c>
      <c r="K41" s="43">
        <v>4.4999999999999997E-3</v>
      </c>
      <c r="L41" s="41">
        <f>M41*L8</f>
        <v>11.325312419999999</v>
      </c>
      <c r="M41" s="43">
        <v>5.3E-3</v>
      </c>
      <c r="N41" s="41">
        <f>O41*N8</f>
        <v>9.4945884000000001E-3</v>
      </c>
      <c r="O41" s="47">
        <v>2.9E-5</v>
      </c>
    </row>
    <row r="42" spans="4:15" x14ac:dyDescent="0.2">
      <c r="D42" s="65"/>
      <c r="E42" s="3"/>
      <c r="F42" s="64"/>
      <c r="G42" s="96"/>
      <c r="O42" s="3"/>
    </row>
    <row r="43" spans="4:15" x14ac:dyDescent="0.2">
      <c r="D43" s="65" t="s">
        <v>42</v>
      </c>
      <c r="E43" s="3"/>
      <c r="F43" s="64"/>
      <c r="G43" s="97"/>
      <c r="O43" s="3"/>
    </row>
    <row r="44" spans="4:15" x14ac:dyDescent="0.2">
      <c r="D44" s="65"/>
      <c r="E44" s="3" t="s">
        <v>30</v>
      </c>
      <c r="F44" s="86">
        <f>G44*F8</f>
        <v>303.62373599999995</v>
      </c>
      <c r="G44" s="95">
        <v>0.14499999999999999</v>
      </c>
      <c r="H44" s="41">
        <f>I44*H8</f>
        <v>307.69215750000006</v>
      </c>
      <c r="I44" s="43">
        <v>0.13650000000000001</v>
      </c>
      <c r="J44" s="41">
        <f>K44*J8</f>
        <v>227.58465365999999</v>
      </c>
      <c r="K44" s="43">
        <v>0.1157</v>
      </c>
      <c r="L44" s="41">
        <f>M44*L8</f>
        <v>278.00436714</v>
      </c>
      <c r="M44" s="43">
        <v>0.13009999999999999</v>
      </c>
      <c r="N44" s="41">
        <f>O44*N8</f>
        <v>5.8931927999999996</v>
      </c>
      <c r="O44" s="47">
        <v>1.7999999999999999E-2</v>
      </c>
    </row>
    <row r="45" spans="4:15" x14ac:dyDescent="0.2">
      <c r="D45" s="65"/>
      <c r="E45" s="3" t="s">
        <v>61</v>
      </c>
      <c r="F45" s="86">
        <f>G45*F8</f>
        <v>202.69501824</v>
      </c>
      <c r="G45" s="95">
        <v>9.6799999999999997E-2</v>
      </c>
      <c r="H45" s="41">
        <f>I45*H8</f>
        <v>229.47297900000004</v>
      </c>
      <c r="I45" s="43">
        <v>0.1018</v>
      </c>
      <c r="J45" s="41">
        <f>K45*J8</f>
        <v>184.31013006000001</v>
      </c>
      <c r="K45" s="43">
        <v>9.3700000000000006E-2</v>
      </c>
      <c r="L45" s="41">
        <f>M45*L8</f>
        <v>221.37780504</v>
      </c>
      <c r="M45" s="43">
        <v>0.1036</v>
      </c>
      <c r="N45" s="41">
        <f>O45*N8</f>
        <v>4.8127741200000003</v>
      </c>
      <c r="O45" s="47">
        <v>1.47E-2</v>
      </c>
    </row>
    <row r="46" spans="4:15" x14ac:dyDescent="0.2">
      <c r="D46" s="65"/>
      <c r="E46" s="3" t="s">
        <v>62</v>
      </c>
      <c r="F46" s="86">
        <f>G46*F8</f>
        <v>193.06281695999999</v>
      </c>
      <c r="G46" s="95">
        <v>9.2200000000000004E-2</v>
      </c>
      <c r="H46" s="41">
        <f>I46*H8</f>
        <v>223.83759150000003</v>
      </c>
      <c r="I46" s="43">
        <v>9.9299999999999999E-2</v>
      </c>
      <c r="J46" s="41">
        <f>K46*J8</f>
        <v>181.35959435999999</v>
      </c>
      <c r="K46" s="43">
        <v>9.2200000000000004E-2</v>
      </c>
      <c r="L46" s="41">
        <f>M46*L8</f>
        <v>217.74515766000002</v>
      </c>
      <c r="M46" s="43">
        <v>0.1019</v>
      </c>
      <c r="N46" s="41">
        <f>O46*N8</f>
        <v>4.6163343599999997</v>
      </c>
      <c r="O46" s="47">
        <v>1.41E-2</v>
      </c>
    </row>
    <row r="47" spans="4:15" x14ac:dyDescent="0.2">
      <c r="D47" s="65"/>
      <c r="E47" s="3"/>
      <c r="F47" s="86"/>
      <c r="G47" s="95"/>
      <c r="H47" s="41"/>
      <c r="I47" s="43"/>
      <c r="J47" s="41"/>
      <c r="K47" s="43"/>
      <c r="L47" s="41"/>
      <c r="M47" s="43"/>
      <c r="N47" s="41"/>
      <c r="O47" s="47"/>
    </row>
    <row r="48" spans="4:15" x14ac:dyDescent="0.2">
      <c r="D48" s="65"/>
      <c r="E48" s="3" t="s">
        <v>31</v>
      </c>
      <c r="F48" s="86">
        <f>G48*F8</f>
        <v>152.64945072</v>
      </c>
      <c r="G48" s="95">
        <v>7.2900000000000006E-2</v>
      </c>
      <c r="H48" s="41">
        <f>I48*H8</f>
        <v>183.71363250000002</v>
      </c>
      <c r="I48" s="43">
        <v>8.1500000000000003E-2</v>
      </c>
      <c r="J48" s="41">
        <f>K48*J8</f>
        <v>143.59273739999998</v>
      </c>
      <c r="K48" s="43">
        <v>7.2999999999999995E-2</v>
      </c>
      <c r="L48" s="41">
        <f>M48*L8</f>
        <v>171.37548228</v>
      </c>
      <c r="M48" s="43">
        <v>8.0199999999999994E-2</v>
      </c>
      <c r="N48" s="41">
        <f>O48*N8</f>
        <v>3.9942751200000006</v>
      </c>
      <c r="O48" s="47">
        <v>1.2200000000000001E-2</v>
      </c>
    </row>
    <row r="49" spans="4:15" x14ac:dyDescent="0.2">
      <c r="D49" s="65"/>
      <c r="E49" s="3" t="s">
        <v>32</v>
      </c>
      <c r="F49" s="86">
        <f>G49*F8</f>
        <v>53.186502719999993</v>
      </c>
      <c r="G49" s="95">
        <v>2.5399999999999999E-2</v>
      </c>
      <c r="H49" s="41">
        <f>I49*H8</f>
        <v>55.677628500000004</v>
      </c>
      <c r="I49" s="43">
        <v>2.47E-2</v>
      </c>
      <c r="J49" s="41">
        <f>K49*J8</f>
        <v>52.912940219999996</v>
      </c>
      <c r="K49" s="43">
        <v>2.69E-2</v>
      </c>
      <c r="L49" s="41">
        <f>M49*L8</f>
        <v>62.39606088</v>
      </c>
      <c r="M49" s="43">
        <v>2.92E-2</v>
      </c>
      <c r="N49" s="41">
        <f>O49*N8</f>
        <v>1.08041868</v>
      </c>
      <c r="O49" s="47">
        <v>3.3E-3</v>
      </c>
    </row>
    <row r="50" spans="4:15" x14ac:dyDescent="0.2">
      <c r="D50" s="65"/>
      <c r="E50" s="3" t="s">
        <v>36</v>
      </c>
      <c r="F50" s="86">
        <f>G50*F8</f>
        <v>4.8161006400000002</v>
      </c>
      <c r="G50" s="95">
        <v>2.3E-3</v>
      </c>
      <c r="H50" s="41">
        <f>I50*H8</f>
        <v>4.0574789999999998</v>
      </c>
      <c r="I50" s="43">
        <v>1.8E-3</v>
      </c>
      <c r="J50" s="41">
        <f>K50*J8</f>
        <v>2.9505357000000001</v>
      </c>
      <c r="K50" s="43">
        <v>1.5E-3</v>
      </c>
      <c r="L50" s="41">
        <f>M50*L8</f>
        <v>7.9063501800000004</v>
      </c>
      <c r="M50" s="43">
        <v>3.7000000000000002E-3</v>
      </c>
      <c r="N50" s="41">
        <f>O50*N8</f>
        <v>0.18661777200000002</v>
      </c>
      <c r="O50" s="47">
        <v>5.6999999999999998E-4</v>
      </c>
    </row>
    <row r="51" spans="4:15" x14ac:dyDescent="0.2">
      <c r="D51" s="65"/>
      <c r="E51" s="3" t="s">
        <v>33</v>
      </c>
      <c r="F51" s="86">
        <f>G51*F8</f>
        <v>41.879136000000003</v>
      </c>
      <c r="G51" s="95">
        <v>0.02</v>
      </c>
      <c r="H51" s="41">
        <f>I51*H8</f>
        <v>44.632269000000008</v>
      </c>
      <c r="I51" s="43">
        <v>1.9800000000000002E-2</v>
      </c>
      <c r="J51" s="41">
        <f>K51*J8</f>
        <v>38.160261720000001</v>
      </c>
      <c r="K51" s="43">
        <v>1.9400000000000001E-2</v>
      </c>
      <c r="L51" s="41">
        <f>M51*L8</f>
        <v>44.019138840000004</v>
      </c>
      <c r="M51" s="43">
        <v>2.06E-2</v>
      </c>
      <c r="N51" s="41">
        <f>O51*N8</f>
        <v>0.81849900000000009</v>
      </c>
      <c r="O51" s="47">
        <v>2.5000000000000001E-3</v>
      </c>
    </row>
    <row r="52" spans="4:15" x14ac:dyDescent="0.2">
      <c r="D52" s="65"/>
      <c r="E52" s="3" t="s">
        <v>37</v>
      </c>
      <c r="F52" s="86">
        <f>G52*F8</f>
        <v>152.85884639999998</v>
      </c>
      <c r="G52" s="95">
        <v>7.2999999999999995E-2</v>
      </c>
      <c r="H52" s="41">
        <f>I52*H8</f>
        <v>119.921046</v>
      </c>
      <c r="I52" s="43">
        <v>5.3199999999999997E-2</v>
      </c>
      <c r="J52" s="41">
        <f>K52*J8</f>
        <v>65.698594919999991</v>
      </c>
      <c r="K52" s="43">
        <v>3.3399999999999999E-2</v>
      </c>
      <c r="L52" s="41">
        <f>M52*L8</f>
        <v>93.380406180000008</v>
      </c>
      <c r="M52" s="43">
        <v>4.3700000000000003E-2</v>
      </c>
      <c r="N52" s="41">
        <f>O52*N8</f>
        <v>1.6369980000000002</v>
      </c>
      <c r="O52" s="47">
        <v>5.0000000000000001E-3</v>
      </c>
    </row>
    <row r="53" spans="4:15" x14ac:dyDescent="0.2">
      <c r="D53" s="65"/>
      <c r="E53" s="3" t="s">
        <v>38</v>
      </c>
      <c r="F53" s="86">
        <f>G53*F8</f>
        <v>3.1409351999999999</v>
      </c>
      <c r="G53" s="95">
        <v>1.5E-3</v>
      </c>
      <c r="H53" s="41">
        <f>I53*H8</f>
        <v>5.8608030000000007</v>
      </c>
      <c r="I53" s="43">
        <v>2.5999999999999999E-3</v>
      </c>
      <c r="J53" s="41">
        <f>K53*J8</f>
        <v>5.1142618799999999</v>
      </c>
      <c r="K53" s="43">
        <v>2.5999999999999999E-3</v>
      </c>
      <c r="L53" s="41">
        <f>M53*L8</f>
        <v>7.2652947599999997</v>
      </c>
      <c r="M53" s="43">
        <v>3.3999999999999998E-3</v>
      </c>
      <c r="N53" s="41">
        <f>O53*N8</f>
        <v>5.8931928000000008E-2</v>
      </c>
      <c r="O53" s="47">
        <v>1.8000000000000001E-4</v>
      </c>
    </row>
    <row r="54" spans="4:15" x14ac:dyDescent="0.2">
      <c r="D54" s="65"/>
      <c r="E54" s="3" t="s">
        <v>39</v>
      </c>
      <c r="F54" s="86">
        <f>G54*F8</f>
        <v>1.1726158080000001E-3</v>
      </c>
      <c r="G54" s="95">
        <v>5.6000000000000004E-7</v>
      </c>
      <c r="H54" s="41">
        <f>I54*H8</f>
        <v>0.60862185000000002</v>
      </c>
      <c r="I54" s="43">
        <v>2.7E-4</v>
      </c>
      <c r="J54" s="41">
        <f>K54*J8</f>
        <v>0</v>
      </c>
      <c r="K54" s="43">
        <v>0</v>
      </c>
      <c r="L54" s="41">
        <f>M54*L8</f>
        <v>5.98318392E-2</v>
      </c>
      <c r="M54" s="43">
        <v>2.8E-5</v>
      </c>
      <c r="N54" s="41">
        <f>O54*N8</f>
        <v>0</v>
      </c>
      <c r="O54" s="47">
        <v>0</v>
      </c>
    </row>
    <row r="55" spans="4:15" x14ac:dyDescent="0.2">
      <c r="D55" s="65"/>
      <c r="E55" s="3" t="s">
        <v>40</v>
      </c>
      <c r="F55" s="86">
        <f>G55*F8</f>
        <v>9.6322012800000003</v>
      </c>
      <c r="G55" s="95">
        <v>4.5999999999999999E-3</v>
      </c>
      <c r="H55" s="41">
        <f>I55*H8</f>
        <v>9.9182820000000014</v>
      </c>
      <c r="I55" s="43">
        <v>4.4000000000000003E-3</v>
      </c>
      <c r="J55" s="41">
        <f>K55*J8</f>
        <v>3.5406428399999998</v>
      </c>
      <c r="K55" s="43">
        <v>1.8E-3</v>
      </c>
      <c r="L55" s="41">
        <f>M55*L8</f>
        <v>8.1200353199999995</v>
      </c>
      <c r="M55" s="43">
        <v>3.8E-3</v>
      </c>
      <c r="N55" s="41">
        <f>O55*N8</f>
        <v>0.19316576400000002</v>
      </c>
      <c r="O55" s="47">
        <v>5.9000000000000003E-4</v>
      </c>
    </row>
    <row r="56" spans="4:15" x14ac:dyDescent="0.2">
      <c r="D56" s="65"/>
      <c r="E56" s="3" t="s">
        <v>41</v>
      </c>
      <c r="F56" s="86">
        <f>G56*F8</f>
        <v>3.55972656E-3</v>
      </c>
      <c r="G56" s="95">
        <v>1.7E-6</v>
      </c>
      <c r="H56" s="41">
        <f>I56*H8</f>
        <v>0</v>
      </c>
      <c r="I56" s="43">
        <v>0</v>
      </c>
      <c r="J56" s="41">
        <f>K56*J8</f>
        <v>0</v>
      </c>
      <c r="K56" s="43">
        <v>0</v>
      </c>
      <c r="L56" s="41">
        <f>M56*L8</f>
        <v>0</v>
      </c>
      <c r="M56" s="43">
        <v>0</v>
      </c>
      <c r="N56" s="41">
        <f>O56*N8</f>
        <v>0</v>
      </c>
      <c r="O56" s="47">
        <v>0</v>
      </c>
    </row>
    <row r="57" spans="4:15" x14ac:dyDescent="0.2">
      <c r="D57" s="65"/>
      <c r="E57" s="3" t="s">
        <v>9</v>
      </c>
      <c r="F57" s="86">
        <f>G57*F8</f>
        <v>0</v>
      </c>
      <c r="G57" s="95">
        <v>0</v>
      </c>
      <c r="H57" s="41">
        <f>I57*H8</f>
        <v>0</v>
      </c>
      <c r="I57" s="43">
        <v>0</v>
      </c>
      <c r="J57" s="41">
        <f>K57*J8</f>
        <v>0</v>
      </c>
      <c r="K57" s="43">
        <v>0</v>
      </c>
      <c r="L57" s="41">
        <f>M57*L8</f>
        <v>1.3889534100000001</v>
      </c>
      <c r="M57" s="43">
        <v>6.4999999999999997E-4</v>
      </c>
      <c r="N57" s="41">
        <f>O57*N8</f>
        <v>0</v>
      </c>
      <c r="O57" s="47">
        <v>0</v>
      </c>
    </row>
    <row r="58" spans="4:15" x14ac:dyDescent="0.2">
      <c r="D58" s="67"/>
      <c r="E58" s="5" t="s">
        <v>8</v>
      </c>
      <c r="F58" s="92">
        <f>G58*F8</f>
        <v>23.452316159999999</v>
      </c>
      <c r="G58" s="91">
        <v>1.12E-2</v>
      </c>
      <c r="H58" s="111">
        <f>I58*H8</f>
        <v>9.0166200000000014</v>
      </c>
      <c r="I58" s="45">
        <v>4.0000000000000001E-3</v>
      </c>
      <c r="J58" s="111">
        <f>K58*J8</f>
        <v>6.4911785399999999</v>
      </c>
      <c r="K58" s="45">
        <v>3.3E-3</v>
      </c>
      <c r="L58" s="111">
        <f>M58*L8</f>
        <v>11.11162728</v>
      </c>
      <c r="M58" s="45">
        <v>5.1999999999999998E-3</v>
      </c>
      <c r="N58" s="111">
        <f>O58*N8</f>
        <v>1.4078182800000002E-2</v>
      </c>
      <c r="O58" s="49">
        <v>4.3000000000000002E-5</v>
      </c>
    </row>
    <row r="60" spans="4:15" x14ac:dyDescent="0.2">
      <c r="D60" s="31" t="s">
        <v>63</v>
      </c>
      <c r="E60" s="8"/>
      <c r="F60" s="8"/>
      <c r="G60" s="8"/>
    </row>
  </sheetData>
  <mergeCells count="7">
    <mergeCell ref="L6:M6"/>
    <mergeCell ref="N6:O6"/>
    <mergeCell ref="D5:O5"/>
    <mergeCell ref="F6:G6"/>
    <mergeCell ref="D60:G60"/>
    <mergeCell ref="H6:I6"/>
    <mergeCell ref="J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FC91-7EEA-9346-B6C3-A7684CE182BE}">
  <dimension ref="D3:Y47"/>
  <sheetViews>
    <sheetView topLeftCell="C1" workbookViewId="0">
      <selection activeCell="H51" sqref="H51"/>
    </sheetView>
  </sheetViews>
  <sheetFormatPr baseColWidth="10" defaultRowHeight="16" x14ac:dyDescent="0.2"/>
  <cols>
    <col min="7" max="7" width="10.83203125" customWidth="1"/>
  </cols>
  <sheetData>
    <row r="3" spans="4:25" x14ac:dyDescent="0.2">
      <c r="D3" t="s">
        <v>67</v>
      </c>
    </row>
    <row r="5" spans="4:25" x14ac:dyDescent="0.2">
      <c r="D5" s="21"/>
      <c r="E5" s="22"/>
      <c r="F5" s="114" t="s">
        <v>0</v>
      </c>
      <c r="G5" s="115"/>
      <c r="H5" s="27" t="s">
        <v>43</v>
      </c>
      <c r="I5" s="25"/>
      <c r="J5" s="25"/>
      <c r="K5" s="25"/>
      <c r="L5" s="25"/>
      <c r="M5" s="25"/>
      <c r="N5" s="27" t="s">
        <v>44</v>
      </c>
      <c r="O5" s="25"/>
      <c r="P5" s="25"/>
      <c r="Q5" s="25"/>
      <c r="R5" s="25"/>
      <c r="S5" s="26"/>
      <c r="T5" s="27" t="s">
        <v>45</v>
      </c>
      <c r="U5" s="25"/>
      <c r="V5" s="25"/>
      <c r="W5" s="25"/>
      <c r="X5" s="25"/>
      <c r="Y5" s="26"/>
    </row>
    <row r="6" spans="4:25" x14ac:dyDescent="0.2">
      <c r="D6" s="13"/>
      <c r="E6" s="6"/>
      <c r="F6" s="116"/>
      <c r="G6" s="117"/>
      <c r="H6" s="50" t="s">
        <v>60</v>
      </c>
      <c r="I6" s="51"/>
      <c r="J6" s="51" t="s">
        <v>66</v>
      </c>
      <c r="K6" s="51"/>
      <c r="L6" s="51" t="s">
        <v>31</v>
      </c>
      <c r="M6" s="51"/>
      <c r="N6" s="50" t="s">
        <v>60</v>
      </c>
      <c r="O6" s="51"/>
      <c r="P6" s="51" t="s">
        <v>66</v>
      </c>
      <c r="Q6" s="51"/>
      <c r="R6" s="51" t="s">
        <v>31</v>
      </c>
      <c r="S6" s="52"/>
      <c r="T6" s="50" t="s">
        <v>60</v>
      </c>
      <c r="U6" s="51"/>
      <c r="V6" s="51" t="s">
        <v>66</v>
      </c>
      <c r="W6" s="51"/>
      <c r="X6" s="51" t="s">
        <v>31</v>
      </c>
      <c r="Y6" s="52"/>
    </row>
    <row r="7" spans="4:25" x14ac:dyDescent="0.2">
      <c r="D7" s="11"/>
      <c r="E7" s="4"/>
      <c r="F7" s="124" t="s">
        <v>25</v>
      </c>
      <c r="G7" s="125" t="s">
        <v>35</v>
      </c>
      <c r="H7" s="19" t="s">
        <v>25</v>
      </c>
      <c r="I7" s="19" t="s">
        <v>35</v>
      </c>
      <c r="J7" s="19" t="s">
        <v>25</v>
      </c>
      <c r="K7" s="19" t="s">
        <v>35</v>
      </c>
      <c r="L7" s="19" t="s">
        <v>25</v>
      </c>
      <c r="M7" s="19" t="s">
        <v>35</v>
      </c>
      <c r="N7" s="16" t="s">
        <v>25</v>
      </c>
      <c r="O7" s="19" t="s">
        <v>35</v>
      </c>
      <c r="P7" s="19" t="s">
        <v>25</v>
      </c>
      <c r="Q7" s="19" t="s">
        <v>35</v>
      </c>
      <c r="R7" s="19" t="s">
        <v>25</v>
      </c>
      <c r="S7" s="17" t="s">
        <v>35</v>
      </c>
      <c r="T7" s="16" t="s">
        <v>25</v>
      </c>
      <c r="U7" s="19" t="s">
        <v>35</v>
      </c>
      <c r="V7" s="19" t="s">
        <v>25</v>
      </c>
      <c r="W7" s="19" t="s">
        <v>35</v>
      </c>
      <c r="X7" s="19" t="s">
        <v>25</v>
      </c>
      <c r="Y7" s="17" t="s">
        <v>35</v>
      </c>
    </row>
    <row r="8" spans="4:25" ht="16" hidden="1" customHeight="1" x14ac:dyDescent="0.2">
      <c r="D8" s="13" t="s">
        <v>4</v>
      </c>
      <c r="E8" s="6"/>
      <c r="F8" s="120"/>
      <c r="G8" s="121"/>
      <c r="H8" s="6"/>
      <c r="I8" s="6"/>
      <c r="J8" s="6"/>
      <c r="K8" s="6"/>
      <c r="L8" s="6"/>
      <c r="M8" s="6"/>
      <c r="N8" s="13"/>
      <c r="O8" s="6"/>
      <c r="P8" s="6"/>
      <c r="Q8" s="6"/>
      <c r="R8" s="6"/>
      <c r="S8" s="3"/>
      <c r="T8" s="13"/>
      <c r="U8" s="6"/>
      <c r="V8" s="6"/>
      <c r="W8" s="6"/>
      <c r="X8" s="6"/>
      <c r="Y8" s="3"/>
    </row>
    <row r="9" spans="4:25" ht="16" hidden="1" customHeight="1" x14ac:dyDescent="0.2">
      <c r="D9" s="13"/>
      <c r="E9" s="6" t="s">
        <v>5</v>
      </c>
      <c r="F9" s="120"/>
      <c r="G9" s="121"/>
      <c r="H9" s="6"/>
      <c r="I9" s="6"/>
      <c r="J9" s="6"/>
      <c r="K9" s="6"/>
      <c r="L9" s="6"/>
      <c r="M9" s="6"/>
      <c r="N9" s="13"/>
      <c r="O9" s="6"/>
      <c r="P9" s="6"/>
      <c r="Q9" s="6"/>
      <c r="R9" s="6"/>
      <c r="S9" s="3"/>
      <c r="T9" s="13"/>
      <c r="U9" s="6"/>
      <c r="V9" s="6"/>
      <c r="W9" s="6"/>
      <c r="X9" s="6"/>
      <c r="Y9" s="3"/>
    </row>
    <row r="10" spans="4:25" ht="16" hidden="1" customHeight="1" x14ac:dyDescent="0.2">
      <c r="D10" s="13"/>
      <c r="E10" s="6" t="s">
        <v>6</v>
      </c>
      <c r="F10" s="120"/>
      <c r="G10" s="121"/>
      <c r="H10" s="6"/>
      <c r="I10" s="6"/>
      <c r="J10" s="6"/>
      <c r="K10" s="6"/>
      <c r="L10" s="6"/>
      <c r="M10" s="6"/>
      <c r="N10" s="13"/>
      <c r="O10" s="6"/>
      <c r="P10" s="6"/>
      <c r="Q10" s="6"/>
      <c r="R10" s="6"/>
      <c r="S10" s="3"/>
      <c r="T10" s="13"/>
      <c r="U10" s="6"/>
      <c r="V10" s="6"/>
      <c r="W10" s="6"/>
      <c r="X10" s="6"/>
      <c r="Y10" s="3"/>
    </row>
    <row r="11" spans="4:25" ht="16" hidden="1" customHeight="1" x14ac:dyDescent="0.2">
      <c r="D11" s="13"/>
      <c r="E11" s="6" t="s">
        <v>7</v>
      </c>
      <c r="F11" s="120"/>
      <c r="G11" s="121"/>
      <c r="H11" s="6"/>
      <c r="I11" s="6"/>
      <c r="J11" s="6"/>
      <c r="K11" s="6"/>
      <c r="L11" s="6"/>
      <c r="M11" s="6"/>
      <c r="N11" s="13"/>
      <c r="O11" s="6"/>
      <c r="P11" s="6"/>
      <c r="Q11" s="6"/>
      <c r="R11" s="6"/>
      <c r="S11" s="3"/>
      <c r="T11" s="13"/>
      <c r="U11" s="6"/>
      <c r="V11" s="6"/>
      <c r="W11" s="6"/>
      <c r="X11" s="6"/>
      <c r="Y11" s="3"/>
    </row>
    <row r="12" spans="4:25" ht="16" hidden="1" customHeight="1" x14ac:dyDescent="0.2">
      <c r="D12" s="13"/>
      <c r="E12" s="6" t="s">
        <v>8</v>
      </c>
      <c r="F12" s="120"/>
      <c r="G12" s="121"/>
      <c r="H12" s="6"/>
      <c r="I12" s="6"/>
      <c r="J12" s="6"/>
      <c r="K12" s="6"/>
      <c r="L12" s="6"/>
      <c r="M12" s="6"/>
      <c r="N12" s="13"/>
      <c r="O12" s="6"/>
      <c r="P12" s="6"/>
      <c r="Q12" s="6"/>
      <c r="R12" s="6"/>
      <c r="S12" s="3"/>
      <c r="T12" s="13"/>
      <c r="U12" s="6"/>
      <c r="V12" s="6"/>
      <c r="W12" s="6"/>
      <c r="X12" s="6"/>
      <c r="Y12" s="3"/>
    </row>
    <row r="13" spans="4:25" ht="16" hidden="1" customHeight="1" x14ac:dyDescent="0.2">
      <c r="D13" s="13"/>
      <c r="E13" s="6" t="s">
        <v>9</v>
      </c>
      <c r="F13" s="120"/>
      <c r="G13" s="121"/>
      <c r="H13" s="6"/>
      <c r="I13" s="6"/>
      <c r="J13" s="6"/>
      <c r="K13" s="6"/>
      <c r="L13" s="6"/>
      <c r="M13" s="6"/>
      <c r="N13" s="13"/>
      <c r="O13" s="6"/>
      <c r="P13" s="6"/>
      <c r="Q13" s="6"/>
      <c r="R13" s="6"/>
      <c r="S13" s="3"/>
      <c r="T13" s="13"/>
      <c r="U13" s="6"/>
      <c r="V13" s="6"/>
      <c r="W13" s="6"/>
      <c r="X13" s="6"/>
      <c r="Y13" s="3"/>
    </row>
    <row r="14" spans="4:25" ht="16" hidden="1" customHeight="1" x14ac:dyDescent="0.2">
      <c r="D14" s="13" t="s">
        <v>10</v>
      </c>
      <c r="E14" s="6"/>
      <c r="F14" s="120"/>
      <c r="G14" s="121"/>
      <c r="H14" s="6"/>
      <c r="I14" s="6"/>
      <c r="J14" s="6"/>
      <c r="K14" s="6"/>
      <c r="L14" s="6"/>
      <c r="M14" s="6"/>
      <c r="N14" s="13"/>
      <c r="O14" s="6"/>
      <c r="P14" s="6"/>
      <c r="Q14" s="6"/>
      <c r="R14" s="6"/>
      <c r="S14" s="3"/>
      <c r="T14" s="13"/>
      <c r="U14" s="6"/>
      <c r="V14" s="6"/>
      <c r="W14" s="6"/>
      <c r="X14" s="6"/>
      <c r="Y14" s="3"/>
    </row>
    <row r="15" spans="4:25" ht="16" hidden="1" customHeight="1" x14ac:dyDescent="0.2">
      <c r="D15" s="13"/>
      <c r="E15" s="6" t="s">
        <v>11</v>
      </c>
      <c r="F15" s="120"/>
      <c r="G15" s="121"/>
      <c r="H15" s="6"/>
      <c r="I15" s="6"/>
      <c r="J15" s="6"/>
      <c r="K15" s="6"/>
      <c r="L15" s="6"/>
      <c r="M15" s="6"/>
      <c r="N15" s="13"/>
      <c r="O15" s="6"/>
      <c r="P15" s="6"/>
      <c r="Q15" s="6"/>
      <c r="R15" s="6"/>
      <c r="S15" s="3"/>
      <c r="T15" s="13"/>
      <c r="U15" s="6"/>
      <c r="V15" s="6"/>
      <c r="W15" s="6"/>
      <c r="X15" s="6"/>
      <c r="Y15" s="3"/>
    </row>
    <row r="16" spans="4:25" ht="16" hidden="1" customHeight="1" x14ac:dyDescent="0.2">
      <c r="D16" s="13"/>
      <c r="E16" s="6" t="s">
        <v>12</v>
      </c>
      <c r="F16" s="120"/>
      <c r="G16" s="121"/>
      <c r="H16" s="6"/>
      <c r="I16" s="6"/>
      <c r="J16" s="6"/>
      <c r="K16" s="6"/>
      <c r="L16" s="6"/>
      <c r="M16" s="6"/>
      <c r="N16" s="13"/>
      <c r="O16" s="6"/>
      <c r="P16" s="6"/>
      <c r="Q16" s="6"/>
      <c r="R16" s="6"/>
      <c r="S16" s="3"/>
      <c r="T16" s="13"/>
      <c r="U16" s="6"/>
      <c r="V16" s="6"/>
      <c r="W16" s="6"/>
      <c r="X16" s="6"/>
      <c r="Y16" s="3"/>
    </row>
    <row r="17" spans="4:25" x14ac:dyDescent="0.2">
      <c r="D17" s="13" t="s">
        <v>14</v>
      </c>
      <c r="E17" s="6"/>
      <c r="F17" s="120"/>
      <c r="G17" s="121"/>
      <c r="H17" s="6"/>
      <c r="I17" s="6"/>
      <c r="J17" s="6"/>
      <c r="K17" s="6"/>
      <c r="L17" s="6"/>
      <c r="M17" s="6"/>
      <c r="N17" s="13"/>
      <c r="O17" s="6"/>
      <c r="P17" s="6"/>
      <c r="Q17" s="6"/>
      <c r="R17" s="6"/>
      <c r="S17" s="3"/>
      <c r="T17" s="13"/>
      <c r="U17" s="6"/>
      <c r="V17" s="6"/>
      <c r="W17" s="6"/>
      <c r="X17" s="6"/>
      <c r="Y17" s="3"/>
    </row>
    <row r="18" spans="4:25" x14ac:dyDescent="0.2">
      <c r="D18" s="13"/>
      <c r="E18" s="6" t="s">
        <v>16</v>
      </c>
      <c r="F18" s="120">
        <v>2094</v>
      </c>
      <c r="G18" s="122">
        <f>F18/F23</f>
        <v>0.23852374985761476</v>
      </c>
      <c r="H18" s="6">
        <v>323</v>
      </c>
      <c r="I18" s="54">
        <f>H18/F18</f>
        <v>0.15425023877745941</v>
      </c>
      <c r="J18" s="79">
        <v>206</v>
      </c>
      <c r="K18" s="54">
        <f>J18/F18</f>
        <v>9.8376313276026736E-2</v>
      </c>
      <c r="L18" s="79">
        <v>169</v>
      </c>
      <c r="M18" s="54">
        <f>L18/F18</f>
        <v>8.0706781279847178E-2</v>
      </c>
      <c r="N18" s="13">
        <v>211</v>
      </c>
      <c r="O18" s="54">
        <f>N18/F18</f>
        <v>0.10076408787010506</v>
      </c>
      <c r="P18" s="6">
        <v>178</v>
      </c>
      <c r="Q18" s="54">
        <f>P18/F18</f>
        <v>8.5004775549188158E-2</v>
      </c>
      <c r="R18" s="6">
        <v>117</v>
      </c>
      <c r="S18" s="47" cm="1">
        <f t="array" ref="S18:S22">R18/F18:F22</f>
        <v>5.5873925501432664E-2</v>
      </c>
      <c r="T18" s="13">
        <v>304</v>
      </c>
      <c r="U18" s="54">
        <f>T18/F18</f>
        <v>0.1451766953199618</v>
      </c>
      <c r="V18" s="6">
        <v>193</v>
      </c>
      <c r="W18" s="54">
        <f>V18/F18</f>
        <v>9.2168099331423115E-2</v>
      </c>
      <c r="X18" s="6">
        <v>153</v>
      </c>
      <c r="Y18" s="47">
        <f>X18/F18</f>
        <v>7.3065902578796568E-2</v>
      </c>
    </row>
    <row r="19" spans="4:25" x14ac:dyDescent="0.2">
      <c r="D19" s="13"/>
      <c r="E19" s="6" t="s">
        <v>17</v>
      </c>
      <c r="F19" s="120">
        <v>2254</v>
      </c>
      <c r="G19" s="122">
        <f>F19/F23</f>
        <v>0.25674906025743249</v>
      </c>
      <c r="H19" s="6">
        <v>322</v>
      </c>
      <c r="I19" s="54">
        <f t="shared" ref="I19:I22" si="0">H19/F19</f>
        <v>0.14285714285714285</v>
      </c>
      <c r="J19" s="79">
        <v>240</v>
      </c>
      <c r="K19" s="54">
        <f>J19/F19</f>
        <v>0.1064773735581189</v>
      </c>
      <c r="L19" s="79">
        <v>206</v>
      </c>
      <c r="M19" s="54">
        <f t="shared" ref="M19:M22" si="1">L19/F19</f>
        <v>9.1393078970718716E-2</v>
      </c>
      <c r="N19" s="13">
        <v>208</v>
      </c>
      <c r="O19" s="54">
        <f t="shared" ref="O19:O22" si="2">N19/F19</f>
        <v>9.2280390417036381E-2</v>
      </c>
      <c r="P19" s="6">
        <v>174</v>
      </c>
      <c r="Q19" s="54">
        <f>P19/F19</f>
        <v>7.7196095829636199E-2</v>
      </c>
      <c r="R19" s="6">
        <v>151</v>
      </c>
      <c r="S19" s="47">
        <v>5.1907719609582965E-2</v>
      </c>
      <c r="T19" s="13">
        <v>308</v>
      </c>
      <c r="U19" s="54">
        <f t="shared" ref="U19:U22" si="3">T19/F19</f>
        <v>0.13664596273291926</v>
      </c>
      <c r="V19" s="6">
        <v>224</v>
      </c>
      <c r="W19" s="54">
        <f t="shared" ref="W19:W22" si="4">V19/F19</f>
        <v>9.9378881987577633E-2</v>
      </c>
      <c r="X19" s="6">
        <v>184</v>
      </c>
      <c r="Y19" s="47">
        <f t="shared" ref="Y19:Y22" si="5">X19/F19</f>
        <v>8.1632653061224483E-2</v>
      </c>
    </row>
    <row r="20" spans="4:25" x14ac:dyDescent="0.2">
      <c r="D20" s="13"/>
      <c r="E20" s="6" t="s">
        <v>18</v>
      </c>
      <c r="F20" s="120">
        <v>1967</v>
      </c>
      <c r="G20" s="122">
        <f>F20/F23</f>
        <v>0.22405740972775942</v>
      </c>
      <c r="H20" s="6">
        <v>242</v>
      </c>
      <c r="I20" s="54">
        <f t="shared" si="0"/>
        <v>0.12302999491611591</v>
      </c>
      <c r="J20" s="79">
        <v>193</v>
      </c>
      <c r="K20" s="54">
        <f t="shared" ref="K20:K22" si="6">J20/F20</f>
        <v>9.8118962887646155E-2</v>
      </c>
      <c r="L20" s="79">
        <v>160</v>
      </c>
      <c r="M20" s="54">
        <f t="shared" si="1"/>
        <v>8.1342145399084895E-2</v>
      </c>
      <c r="N20" s="13">
        <v>169</v>
      </c>
      <c r="O20" s="54">
        <f t="shared" si="2"/>
        <v>8.5917641077783422E-2</v>
      </c>
      <c r="P20" s="6">
        <v>142</v>
      </c>
      <c r="Q20" s="54">
        <f>P20/F20</f>
        <v>7.2191154041687855E-2</v>
      </c>
      <c r="R20" s="6">
        <v>119</v>
      </c>
      <c r="S20" s="47">
        <v>5.9481443823080835E-2</v>
      </c>
      <c r="T20" s="13">
        <v>228</v>
      </c>
      <c r="U20" s="54">
        <f t="shared" si="3"/>
        <v>0.11591255719369599</v>
      </c>
      <c r="V20" s="6">
        <v>181</v>
      </c>
      <c r="W20" s="54">
        <f t="shared" si="4"/>
        <v>9.2018301982714795E-2</v>
      </c>
      <c r="X20" s="6">
        <v>144</v>
      </c>
      <c r="Y20" s="47">
        <f t="shared" si="5"/>
        <v>7.3207930859176415E-2</v>
      </c>
    </row>
    <row r="21" spans="4:25" x14ac:dyDescent="0.2">
      <c r="D21" s="13"/>
      <c r="E21" s="6" t="s">
        <v>19</v>
      </c>
      <c r="F21" s="120">
        <v>2137</v>
      </c>
      <c r="G21" s="122">
        <f>F21/F23</f>
        <v>0.24342180202756578</v>
      </c>
      <c r="H21" s="79">
        <v>297</v>
      </c>
      <c r="I21" s="54">
        <f t="shared" si="0"/>
        <v>0.13897987833411324</v>
      </c>
      <c r="J21" s="79">
        <v>234</v>
      </c>
      <c r="K21" s="54">
        <f t="shared" si="6"/>
        <v>0.10949929808142256</v>
      </c>
      <c r="L21" s="79">
        <v>193</v>
      </c>
      <c r="M21" s="54">
        <f t="shared" si="1"/>
        <v>9.0313523631258774E-2</v>
      </c>
      <c r="N21" s="13">
        <v>187</v>
      </c>
      <c r="O21" s="54">
        <f t="shared" si="2"/>
        <v>8.7505849321478715E-2</v>
      </c>
      <c r="P21" s="79">
        <v>155</v>
      </c>
      <c r="Q21" s="54">
        <f>P21/F21</f>
        <v>7.2531586335985027E-2</v>
      </c>
      <c r="R21" s="79">
        <v>127</v>
      </c>
      <c r="S21" s="47">
        <v>5.4749649040711279E-2</v>
      </c>
      <c r="T21" s="13">
        <v>278</v>
      </c>
      <c r="U21" s="54">
        <f t="shared" si="3"/>
        <v>0.13008890968647638</v>
      </c>
      <c r="V21" s="79">
        <v>218</v>
      </c>
      <c r="W21" s="54">
        <f t="shared" si="4"/>
        <v>0.10201216658867571</v>
      </c>
      <c r="X21" s="79">
        <v>171</v>
      </c>
      <c r="Y21" s="47">
        <f t="shared" si="5"/>
        <v>8.0018717828731864E-2</v>
      </c>
    </row>
    <row r="22" spans="4:25" x14ac:dyDescent="0.2">
      <c r="D22" s="11"/>
      <c r="E22" s="4" t="s">
        <v>46</v>
      </c>
      <c r="F22" s="123">
        <v>327</v>
      </c>
      <c r="G22" s="122">
        <f>F22/F23</f>
        <v>3.7247978129627518E-2</v>
      </c>
      <c r="H22" s="4">
        <v>6</v>
      </c>
      <c r="I22" s="45">
        <f t="shared" si="0"/>
        <v>1.834862385321101E-2</v>
      </c>
      <c r="J22" s="4">
        <v>5</v>
      </c>
      <c r="K22" s="45">
        <f t="shared" si="6"/>
        <v>1.5290519877675841E-2</v>
      </c>
      <c r="L22" s="4">
        <v>4</v>
      </c>
      <c r="M22" s="49">
        <f t="shared" si="1"/>
        <v>1.2232415902140673E-2</v>
      </c>
      <c r="N22" s="11">
        <v>4</v>
      </c>
      <c r="O22" s="45">
        <f t="shared" si="2"/>
        <v>1.2232415902140673E-2</v>
      </c>
      <c r="P22" s="4">
        <v>4</v>
      </c>
      <c r="Q22" s="45">
        <f>P22/F22</f>
        <v>1.2232415902140673E-2</v>
      </c>
      <c r="R22" s="4">
        <v>3</v>
      </c>
      <c r="S22" s="49">
        <v>0.3577981651376147</v>
      </c>
      <c r="T22" s="11">
        <v>6</v>
      </c>
      <c r="U22" s="45">
        <f t="shared" si="3"/>
        <v>1.834862385321101E-2</v>
      </c>
      <c r="V22" s="4">
        <v>5</v>
      </c>
      <c r="W22" s="45">
        <f t="shared" si="4"/>
        <v>1.5290519877675841E-2</v>
      </c>
      <c r="X22" s="4">
        <v>4</v>
      </c>
      <c r="Y22" s="49">
        <f t="shared" si="5"/>
        <v>1.2232415902140673E-2</v>
      </c>
    </row>
    <row r="23" spans="4:25" x14ac:dyDescent="0.2">
      <c r="D23" s="28" t="s">
        <v>0</v>
      </c>
      <c r="E23" s="9"/>
      <c r="F23" s="118">
        <f>SUM(F18:F22)</f>
        <v>8779</v>
      </c>
      <c r="G23" s="119">
        <f>SUM(G18:G22)</f>
        <v>1</v>
      </c>
      <c r="H23" s="9">
        <f>SUM(H18:H22)</f>
        <v>1190</v>
      </c>
      <c r="I23" s="42">
        <f>SUM(I18:I22)</f>
        <v>0.57746587873804234</v>
      </c>
      <c r="J23" s="9">
        <f>SUM(J18:J22)</f>
        <v>878</v>
      </c>
      <c r="K23" s="42">
        <f>SUM(K18:K22)</f>
        <v>0.42776246768089016</v>
      </c>
      <c r="L23" s="9">
        <f>SUM(L17:L22)</f>
        <v>732</v>
      </c>
      <c r="M23" s="42">
        <f>SUM(M18:M22)</f>
        <v>0.35598794518305027</v>
      </c>
      <c r="N23" s="12">
        <f>SUM(N17:N22)</f>
        <v>779</v>
      </c>
      <c r="O23" s="42">
        <f>SUM(O18:O22)</f>
        <v>0.37870038458854427</v>
      </c>
      <c r="P23" s="9">
        <f>SUM(P17:P22)</f>
        <v>653</v>
      </c>
      <c r="Q23" s="42">
        <f>SUM(Q18:Q22)</f>
        <v>0.31915602765863793</v>
      </c>
      <c r="R23" s="9">
        <f>SUM(R17:R22)</f>
        <v>517</v>
      </c>
      <c r="S23" s="46">
        <f>SUM(S18:S22)</f>
        <v>0.57981090311242245</v>
      </c>
      <c r="T23" s="12">
        <f>SUM(T17:T22)</f>
        <v>1124</v>
      </c>
      <c r="U23" s="42">
        <f>SUM(U18:U22)</f>
        <v>0.54617274878626443</v>
      </c>
      <c r="V23" s="9">
        <f>SUM(V17:V22)</f>
        <v>821</v>
      </c>
      <c r="W23" s="42">
        <f>SUM(W18:W22)</f>
        <v>0.40086796976806705</v>
      </c>
      <c r="X23" s="9">
        <f>SUM(X17:X22)</f>
        <v>656</v>
      </c>
      <c r="Y23" s="46">
        <f>SUM(Y18:Y22)</f>
        <v>0.32015762023007005</v>
      </c>
    </row>
    <row r="24" spans="4:25" x14ac:dyDescent="0.2">
      <c r="D24" s="61"/>
      <c r="E24" s="6"/>
      <c r="F24" s="129"/>
      <c r="G24" s="130"/>
      <c r="H24" s="6"/>
      <c r="I24" s="54"/>
      <c r="J24" s="6"/>
      <c r="K24" s="54"/>
      <c r="L24" s="6"/>
      <c r="M24" s="54"/>
      <c r="N24" s="6"/>
      <c r="O24" s="54"/>
      <c r="P24" s="6"/>
      <c r="Q24" s="54"/>
      <c r="R24" s="6"/>
      <c r="S24" s="54"/>
      <c r="T24" s="6"/>
      <c r="U24" s="54"/>
      <c r="V24" s="6"/>
      <c r="W24" s="54"/>
      <c r="X24" s="6"/>
      <c r="Y24" s="54"/>
    </row>
    <row r="25" spans="4:25" x14ac:dyDescent="0.2">
      <c r="D25" s="61"/>
      <c r="E25" s="6"/>
      <c r="F25" s="129"/>
      <c r="G25" s="130"/>
      <c r="H25" s="6"/>
      <c r="I25" s="54"/>
      <c r="J25" s="6"/>
      <c r="K25" s="54"/>
      <c r="L25" s="6"/>
      <c r="M25" s="54"/>
      <c r="N25" s="6"/>
      <c r="O25" s="54"/>
      <c r="P25" s="6"/>
      <c r="Q25" s="54"/>
      <c r="R25" s="6"/>
      <c r="S25" s="54"/>
      <c r="T25" s="6"/>
      <c r="U25" s="54"/>
      <c r="V25" s="6"/>
      <c r="W25" s="54"/>
      <c r="X25" s="6"/>
      <c r="Y25" s="54"/>
    </row>
    <row r="26" spans="4:25" x14ac:dyDescent="0.2">
      <c r="G26" s="113"/>
    </row>
    <row r="27" spans="4:25" x14ac:dyDescent="0.2">
      <c r="D27" t="s">
        <v>67</v>
      </c>
    </row>
    <row r="29" spans="4:25" x14ac:dyDescent="0.2">
      <c r="D29" s="21"/>
      <c r="E29" s="22"/>
      <c r="F29" s="114" t="s">
        <v>0</v>
      </c>
      <c r="G29" s="115"/>
      <c r="H29" s="27" t="s">
        <v>43</v>
      </c>
      <c r="I29" s="25"/>
      <c r="J29" s="25"/>
      <c r="K29" s="25"/>
      <c r="L29" s="25"/>
      <c r="M29" s="25"/>
      <c r="N29" s="27" t="s">
        <v>44</v>
      </c>
      <c r="O29" s="25"/>
      <c r="P29" s="25"/>
      <c r="Q29" s="25"/>
      <c r="R29" s="25"/>
      <c r="S29" s="26"/>
      <c r="T29" s="27" t="s">
        <v>45</v>
      </c>
      <c r="U29" s="25"/>
      <c r="V29" s="25"/>
      <c r="W29" s="25"/>
      <c r="X29" s="25"/>
      <c r="Y29" s="26"/>
    </row>
    <row r="30" spans="4:25" x14ac:dyDescent="0.2">
      <c r="D30" s="13"/>
      <c r="E30" s="6"/>
      <c r="F30" s="116"/>
      <c r="G30" s="117"/>
      <c r="H30" s="50" t="s">
        <v>60</v>
      </c>
      <c r="I30" s="51"/>
      <c r="J30" s="51" t="s">
        <v>66</v>
      </c>
      <c r="K30" s="51"/>
      <c r="L30" s="51" t="s">
        <v>31</v>
      </c>
      <c r="M30" s="51"/>
      <c r="N30" s="50" t="s">
        <v>60</v>
      </c>
      <c r="O30" s="51"/>
      <c r="P30" s="51" t="s">
        <v>66</v>
      </c>
      <c r="Q30" s="51"/>
      <c r="R30" s="51" t="s">
        <v>31</v>
      </c>
      <c r="S30" s="52"/>
      <c r="T30" s="50" t="s">
        <v>60</v>
      </c>
      <c r="U30" s="51"/>
      <c r="V30" s="51" t="s">
        <v>66</v>
      </c>
      <c r="W30" s="51"/>
      <c r="X30" s="51" t="s">
        <v>31</v>
      </c>
      <c r="Y30" s="52"/>
    </row>
    <row r="31" spans="4:25" x14ac:dyDescent="0.2">
      <c r="D31" s="11"/>
      <c r="E31" s="4"/>
      <c r="F31" s="124" t="s">
        <v>25</v>
      </c>
      <c r="G31" s="125" t="s">
        <v>35</v>
      </c>
      <c r="H31" s="19" t="s">
        <v>25</v>
      </c>
      <c r="I31" s="19" t="s">
        <v>35</v>
      </c>
      <c r="J31" s="19" t="s">
        <v>25</v>
      </c>
      <c r="K31" s="19" t="s">
        <v>35</v>
      </c>
      <c r="L31" s="19" t="s">
        <v>25</v>
      </c>
      <c r="M31" s="19" t="s">
        <v>35</v>
      </c>
      <c r="N31" s="16" t="s">
        <v>25</v>
      </c>
      <c r="O31" s="19" t="s">
        <v>35</v>
      </c>
      <c r="P31" s="19" t="s">
        <v>25</v>
      </c>
      <c r="Q31" s="19" t="s">
        <v>35</v>
      </c>
      <c r="R31" s="19" t="s">
        <v>25</v>
      </c>
      <c r="S31" s="17" t="s">
        <v>35</v>
      </c>
      <c r="T31" s="16" t="s">
        <v>25</v>
      </c>
      <c r="U31" s="19" t="s">
        <v>35</v>
      </c>
      <c r="V31" s="19" t="s">
        <v>25</v>
      </c>
      <c r="W31" s="19" t="s">
        <v>35</v>
      </c>
      <c r="X31" s="19" t="s">
        <v>25</v>
      </c>
      <c r="Y31" s="17" t="s">
        <v>35</v>
      </c>
    </row>
    <row r="32" spans="4:25" ht="16" hidden="1" customHeight="1" x14ac:dyDescent="0.2">
      <c r="D32" s="13" t="s">
        <v>4</v>
      </c>
      <c r="E32" s="6"/>
      <c r="F32" s="120"/>
      <c r="G32" s="121"/>
      <c r="H32" s="6"/>
      <c r="I32" s="6"/>
      <c r="J32" s="6"/>
      <c r="K32" s="6"/>
      <c r="L32" s="6"/>
      <c r="M32" s="6"/>
      <c r="N32" s="13"/>
      <c r="O32" s="6"/>
      <c r="P32" s="6"/>
      <c r="Q32" s="6"/>
      <c r="R32" s="6"/>
      <c r="S32" s="3"/>
      <c r="T32" s="13"/>
      <c r="U32" s="6"/>
      <c r="V32" s="6"/>
      <c r="W32" s="6"/>
      <c r="X32" s="6"/>
      <c r="Y32" s="3"/>
    </row>
    <row r="33" spans="4:25" ht="16" hidden="1" customHeight="1" x14ac:dyDescent="0.2">
      <c r="D33" s="13"/>
      <c r="E33" s="6" t="s">
        <v>5</v>
      </c>
      <c r="F33" s="120"/>
      <c r="G33" s="121"/>
      <c r="H33" s="6"/>
      <c r="I33" s="6"/>
      <c r="J33" s="6"/>
      <c r="K33" s="6"/>
      <c r="L33" s="6"/>
      <c r="M33" s="6"/>
      <c r="N33" s="13"/>
      <c r="O33" s="6"/>
      <c r="P33" s="6"/>
      <c r="Q33" s="6"/>
      <c r="R33" s="6"/>
      <c r="S33" s="3"/>
      <c r="T33" s="13"/>
      <c r="U33" s="6"/>
      <c r="V33" s="6"/>
      <c r="W33" s="6"/>
      <c r="X33" s="6"/>
      <c r="Y33" s="3"/>
    </row>
    <row r="34" spans="4:25" ht="16" hidden="1" customHeight="1" x14ac:dyDescent="0.2">
      <c r="D34" s="13"/>
      <c r="E34" s="6" t="s">
        <v>6</v>
      </c>
      <c r="F34" s="120"/>
      <c r="G34" s="121"/>
      <c r="H34" s="6"/>
      <c r="I34" s="6"/>
      <c r="J34" s="6"/>
      <c r="K34" s="6"/>
      <c r="L34" s="6"/>
      <c r="M34" s="6"/>
      <c r="N34" s="13"/>
      <c r="O34" s="6"/>
      <c r="P34" s="6"/>
      <c r="Q34" s="6"/>
      <c r="R34" s="6"/>
      <c r="S34" s="3"/>
      <c r="T34" s="13"/>
      <c r="U34" s="6"/>
      <c r="V34" s="6"/>
      <c r="W34" s="6"/>
      <c r="X34" s="6"/>
      <c r="Y34" s="3"/>
    </row>
    <row r="35" spans="4:25" ht="16" hidden="1" customHeight="1" x14ac:dyDescent="0.2">
      <c r="D35" s="13"/>
      <c r="E35" s="6" t="s">
        <v>7</v>
      </c>
      <c r="F35" s="120"/>
      <c r="G35" s="121"/>
      <c r="H35" s="6"/>
      <c r="I35" s="6"/>
      <c r="J35" s="6"/>
      <c r="K35" s="6"/>
      <c r="L35" s="6"/>
      <c r="M35" s="6"/>
      <c r="N35" s="13"/>
      <c r="O35" s="6"/>
      <c r="P35" s="6"/>
      <c r="Q35" s="6"/>
      <c r="R35" s="6"/>
      <c r="S35" s="3"/>
      <c r="T35" s="13"/>
      <c r="U35" s="6"/>
      <c r="V35" s="6"/>
      <c r="W35" s="6"/>
      <c r="X35" s="6"/>
      <c r="Y35" s="3"/>
    </row>
    <row r="36" spans="4:25" ht="16" hidden="1" customHeight="1" x14ac:dyDescent="0.2">
      <c r="D36" s="13"/>
      <c r="E36" s="6" t="s">
        <v>8</v>
      </c>
      <c r="F36" s="120"/>
      <c r="G36" s="121"/>
      <c r="H36" s="6"/>
      <c r="I36" s="6"/>
      <c r="J36" s="6"/>
      <c r="K36" s="6"/>
      <c r="L36" s="6"/>
      <c r="M36" s="6"/>
      <c r="N36" s="13"/>
      <c r="O36" s="6"/>
      <c r="P36" s="6"/>
      <c r="Q36" s="6"/>
      <c r="R36" s="6"/>
      <c r="S36" s="3"/>
      <c r="T36" s="13"/>
      <c r="U36" s="6"/>
      <c r="V36" s="6"/>
      <c r="W36" s="6"/>
      <c r="X36" s="6"/>
      <c r="Y36" s="3"/>
    </row>
    <row r="37" spans="4:25" ht="16" hidden="1" customHeight="1" x14ac:dyDescent="0.2">
      <c r="D37" s="13"/>
      <c r="E37" s="6" t="s">
        <v>9</v>
      </c>
      <c r="F37" s="120"/>
      <c r="G37" s="121"/>
      <c r="H37" s="6"/>
      <c r="I37" s="6"/>
      <c r="J37" s="6"/>
      <c r="K37" s="6"/>
      <c r="L37" s="6"/>
      <c r="M37" s="6"/>
      <c r="N37" s="13"/>
      <c r="O37" s="6"/>
      <c r="P37" s="6"/>
      <c r="Q37" s="6"/>
      <c r="R37" s="6"/>
      <c r="S37" s="3"/>
      <c r="T37" s="13"/>
      <c r="U37" s="6"/>
      <c r="V37" s="6"/>
      <c r="W37" s="6"/>
      <c r="X37" s="6"/>
      <c r="Y37" s="3"/>
    </row>
    <row r="38" spans="4:25" ht="16" hidden="1" customHeight="1" x14ac:dyDescent="0.2">
      <c r="D38" s="13" t="s">
        <v>10</v>
      </c>
      <c r="E38" s="6"/>
      <c r="F38" s="120"/>
      <c r="G38" s="121"/>
      <c r="H38" s="6"/>
      <c r="I38" s="6"/>
      <c r="J38" s="6"/>
      <c r="K38" s="6"/>
      <c r="L38" s="6"/>
      <c r="M38" s="6"/>
      <c r="N38" s="13"/>
      <c r="O38" s="6"/>
      <c r="P38" s="6"/>
      <c r="Q38" s="6"/>
      <c r="R38" s="6"/>
      <c r="S38" s="3"/>
      <c r="T38" s="13"/>
      <c r="U38" s="6"/>
      <c r="V38" s="6"/>
      <c r="W38" s="6"/>
      <c r="X38" s="6"/>
      <c r="Y38" s="3"/>
    </row>
    <row r="39" spans="4:25" ht="16" hidden="1" customHeight="1" x14ac:dyDescent="0.2">
      <c r="D39" s="13"/>
      <c r="E39" s="6" t="s">
        <v>11</v>
      </c>
      <c r="F39" s="120"/>
      <c r="G39" s="121"/>
      <c r="H39" s="6"/>
      <c r="I39" s="6"/>
      <c r="J39" s="6"/>
      <c r="K39" s="6"/>
      <c r="L39" s="6"/>
      <c r="M39" s="6"/>
      <c r="N39" s="13"/>
      <c r="O39" s="6"/>
      <c r="P39" s="6"/>
      <c r="Q39" s="6"/>
      <c r="R39" s="6"/>
      <c r="S39" s="3"/>
      <c r="T39" s="13"/>
      <c r="U39" s="6"/>
      <c r="V39" s="6"/>
      <c r="W39" s="6"/>
      <c r="X39" s="6"/>
      <c r="Y39" s="3"/>
    </row>
    <row r="40" spans="4:25" ht="16" hidden="1" customHeight="1" x14ac:dyDescent="0.2">
      <c r="D40" s="13"/>
      <c r="E40" s="6" t="s">
        <v>12</v>
      </c>
      <c r="F40" s="120"/>
      <c r="G40" s="121"/>
      <c r="H40" s="6"/>
      <c r="I40" s="6"/>
      <c r="J40" s="6"/>
      <c r="K40" s="6"/>
      <c r="L40" s="6"/>
      <c r="M40" s="6"/>
      <c r="N40" s="13"/>
      <c r="O40" s="6"/>
      <c r="P40" s="6"/>
      <c r="Q40" s="6"/>
      <c r="R40" s="6"/>
      <c r="S40" s="3"/>
      <c r="T40" s="13"/>
      <c r="U40" s="6"/>
      <c r="V40" s="6"/>
      <c r="W40" s="6"/>
      <c r="X40" s="6"/>
      <c r="Y40" s="3"/>
    </row>
    <row r="41" spans="4:25" x14ac:dyDescent="0.2">
      <c r="D41" s="13" t="s">
        <v>14</v>
      </c>
      <c r="E41" s="6"/>
      <c r="F41" s="120"/>
      <c r="G41" s="121"/>
      <c r="H41" s="6"/>
      <c r="I41" s="6"/>
      <c r="J41" s="6"/>
      <c r="K41" s="6"/>
      <c r="L41" s="6"/>
      <c r="M41" s="6"/>
      <c r="N41" s="13"/>
      <c r="O41" s="6"/>
      <c r="P41" s="6"/>
      <c r="Q41" s="6"/>
      <c r="R41" s="6"/>
      <c r="S41" s="3"/>
      <c r="T41" s="13"/>
      <c r="U41" s="6"/>
      <c r="V41" s="6"/>
      <c r="W41" s="6"/>
      <c r="X41" s="6"/>
      <c r="Y41" s="3"/>
    </row>
    <row r="42" spans="4:25" x14ac:dyDescent="0.2">
      <c r="D42" s="13"/>
      <c r="E42" s="6" t="s">
        <v>16</v>
      </c>
      <c r="F42" s="120">
        <v>2094</v>
      </c>
      <c r="G42" s="122">
        <f>F42/F47</f>
        <v>0.23852374985761476</v>
      </c>
      <c r="H42" s="6">
        <v>323</v>
      </c>
      <c r="I42" s="82">
        <f>H42/F42</f>
        <v>0.15425023877745941</v>
      </c>
      <c r="J42" s="79">
        <v>206</v>
      </c>
      <c r="K42" s="82">
        <f>J42/F42</f>
        <v>9.8376313276026736E-2</v>
      </c>
      <c r="L42" s="79">
        <v>169</v>
      </c>
      <c r="M42" s="82">
        <f>L42/F42</f>
        <v>8.0706781279847178E-2</v>
      </c>
      <c r="N42" s="13">
        <v>211</v>
      </c>
      <c r="O42" s="82">
        <f>N42/F42</f>
        <v>0.10076408787010506</v>
      </c>
      <c r="P42" s="6">
        <v>178</v>
      </c>
      <c r="Q42" s="82">
        <f>P42/F42</f>
        <v>8.5004775549188158E-2</v>
      </c>
      <c r="R42" s="6">
        <v>117</v>
      </c>
      <c r="S42" s="127" cm="1">
        <f t="array" ref="S42:S46">R42/F42:F46</f>
        <v>5.5873925501432664E-2</v>
      </c>
      <c r="T42" s="13">
        <v>304</v>
      </c>
      <c r="U42" s="82">
        <f>T42/F42</f>
        <v>0.1451766953199618</v>
      </c>
      <c r="V42" s="6">
        <v>193</v>
      </c>
      <c r="W42" s="82">
        <f>V42/F42</f>
        <v>9.2168099331423115E-2</v>
      </c>
      <c r="X42" s="6">
        <v>153</v>
      </c>
      <c r="Y42" s="127">
        <f>X42/F42</f>
        <v>7.3065902578796568E-2</v>
      </c>
    </row>
    <row r="43" spans="4:25" x14ac:dyDescent="0.2">
      <c r="D43" s="13"/>
      <c r="E43" s="6" t="s">
        <v>17</v>
      </c>
      <c r="F43" s="120">
        <v>2254</v>
      </c>
      <c r="G43" s="122">
        <f>F43/F47</f>
        <v>0.25674906025743249</v>
      </c>
      <c r="H43" s="6">
        <v>322</v>
      </c>
      <c r="I43" s="82">
        <f t="shared" ref="I43:I46" si="7">H43/F43</f>
        <v>0.14285714285714285</v>
      </c>
      <c r="J43" s="79">
        <v>240</v>
      </c>
      <c r="K43" s="82">
        <f>J43/F43</f>
        <v>0.1064773735581189</v>
      </c>
      <c r="L43" s="79">
        <v>206</v>
      </c>
      <c r="M43" s="82">
        <f t="shared" ref="M43:M46" si="8">L43/F43</f>
        <v>9.1393078970718716E-2</v>
      </c>
      <c r="N43" s="13">
        <v>208</v>
      </c>
      <c r="O43" s="82">
        <f t="shared" ref="O43:O46" si="9">N43/F43</f>
        <v>9.2280390417036381E-2</v>
      </c>
      <c r="P43" s="6">
        <v>174</v>
      </c>
      <c r="Q43" s="82">
        <f t="shared" ref="Q43:Q46" si="10">P43/F43</f>
        <v>7.7196095829636199E-2</v>
      </c>
      <c r="R43" s="6">
        <v>151</v>
      </c>
      <c r="S43" s="127">
        <v>5.1907719609582965E-2</v>
      </c>
      <c r="T43" s="13">
        <v>308</v>
      </c>
      <c r="U43" s="82">
        <f t="shared" ref="U43:U46" si="11">T43/F43</f>
        <v>0.13664596273291926</v>
      </c>
      <c r="V43" s="6">
        <v>224</v>
      </c>
      <c r="W43" s="82">
        <f t="shared" ref="W43:W46" si="12">V43/F43</f>
        <v>9.9378881987577633E-2</v>
      </c>
      <c r="X43" s="6">
        <v>184</v>
      </c>
      <c r="Y43" s="127">
        <f t="shared" ref="Y43:Y46" si="13">X43/F43</f>
        <v>8.1632653061224483E-2</v>
      </c>
    </row>
    <row r="44" spans="4:25" x14ac:dyDescent="0.2">
      <c r="D44" s="13"/>
      <c r="E44" s="6" t="s">
        <v>18</v>
      </c>
      <c r="F44" s="120">
        <v>1967</v>
      </c>
      <c r="G44" s="122">
        <f>F44/F47</f>
        <v>0.22405740972775942</v>
      </c>
      <c r="H44" s="6">
        <v>242</v>
      </c>
      <c r="I44" s="82">
        <f t="shared" si="7"/>
        <v>0.12302999491611591</v>
      </c>
      <c r="J44" s="79">
        <v>193</v>
      </c>
      <c r="K44" s="82">
        <f t="shared" ref="K44:K46" si="14">J44/F44</f>
        <v>9.8118962887646155E-2</v>
      </c>
      <c r="L44" s="79">
        <v>160</v>
      </c>
      <c r="M44" s="82">
        <f t="shared" si="8"/>
        <v>8.1342145399084895E-2</v>
      </c>
      <c r="N44" s="13">
        <v>169</v>
      </c>
      <c r="O44" s="82">
        <f t="shared" si="9"/>
        <v>8.5917641077783422E-2</v>
      </c>
      <c r="P44" s="6">
        <v>142</v>
      </c>
      <c r="Q44" s="82">
        <f t="shared" si="10"/>
        <v>7.2191154041687855E-2</v>
      </c>
      <c r="R44" s="6">
        <v>119</v>
      </c>
      <c r="S44" s="127">
        <v>5.9481443823080835E-2</v>
      </c>
      <c r="T44" s="13">
        <v>228</v>
      </c>
      <c r="U44" s="82">
        <f t="shared" si="11"/>
        <v>0.11591255719369599</v>
      </c>
      <c r="V44" s="6">
        <v>181</v>
      </c>
      <c r="W44" s="82">
        <f t="shared" si="12"/>
        <v>9.2018301982714795E-2</v>
      </c>
      <c r="X44" s="6">
        <v>144</v>
      </c>
      <c r="Y44" s="127">
        <f t="shared" si="13"/>
        <v>7.3207930859176415E-2</v>
      </c>
    </row>
    <row r="45" spans="4:25" x14ac:dyDescent="0.2">
      <c r="D45" s="13"/>
      <c r="E45" s="6" t="s">
        <v>19</v>
      </c>
      <c r="F45" s="120">
        <v>2137</v>
      </c>
      <c r="G45" s="122">
        <f>F45/F47</f>
        <v>0.24342180202756578</v>
      </c>
      <c r="H45" s="79">
        <v>297</v>
      </c>
      <c r="I45" s="82">
        <f t="shared" si="7"/>
        <v>0.13897987833411324</v>
      </c>
      <c r="J45" s="79">
        <v>234</v>
      </c>
      <c r="K45" s="82">
        <f t="shared" si="14"/>
        <v>0.10949929808142256</v>
      </c>
      <c r="L45" s="79">
        <v>193</v>
      </c>
      <c r="M45" s="82">
        <f t="shared" si="8"/>
        <v>9.0313523631258774E-2</v>
      </c>
      <c r="N45" s="13">
        <v>187</v>
      </c>
      <c r="O45" s="82">
        <f t="shared" si="9"/>
        <v>8.7505849321478715E-2</v>
      </c>
      <c r="P45" s="79">
        <v>155</v>
      </c>
      <c r="Q45" s="82">
        <f t="shared" si="10"/>
        <v>7.2531586335985027E-2</v>
      </c>
      <c r="R45" s="79">
        <v>127</v>
      </c>
      <c r="S45" s="127">
        <v>5.4749649040711279E-2</v>
      </c>
      <c r="T45" s="13">
        <v>278</v>
      </c>
      <c r="U45" s="82">
        <f t="shared" si="11"/>
        <v>0.13008890968647638</v>
      </c>
      <c r="V45" s="79">
        <v>218</v>
      </c>
      <c r="W45" s="82">
        <f t="shared" si="12"/>
        <v>0.10201216658867571</v>
      </c>
      <c r="X45" s="79">
        <v>171</v>
      </c>
      <c r="Y45" s="127">
        <f t="shared" si="13"/>
        <v>8.0018717828731864E-2</v>
      </c>
    </row>
    <row r="46" spans="4:25" x14ac:dyDescent="0.2">
      <c r="D46" s="11"/>
      <c r="E46" s="4" t="s">
        <v>46</v>
      </c>
      <c r="F46" s="123">
        <v>327</v>
      </c>
      <c r="G46" s="122">
        <f>F46/F47</f>
        <v>3.7247978129627518E-2</v>
      </c>
      <c r="H46" s="4">
        <v>6</v>
      </c>
      <c r="I46" s="112">
        <f t="shared" si="7"/>
        <v>1.834862385321101E-2</v>
      </c>
      <c r="J46" s="4">
        <v>5</v>
      </c>
      <c r="K46" s="112">
        <f t="shared" si="14"/>
        <v>1.5290519877675841E-2</v>
      </c>
      <c r="L46" s="4">
        <v>4</v>
      </c>
      <c r="M46" s="126">
        <f t="shared" si="8"/>
        <v>1.2232415902140673E-2</v>
      </c>
      <c r="N46" s="11">
        <v>4</v>
      </c>
      <c r="O46" s="112">
        <f t="shared" si="9"/>
        <v>1.2232415902140673E-2</v>
      </c>
      <c r="P46" s="4">
        <v>4</v>
      </c>
      <c r="Q46" s="82">
        <f t="shared" si="10"/>
        <v>1.2232415902140673E-2</v>
      </c>
      <c r="R46" s="4">
        <v>3</v>
      </c>
      <c r="S46" s="126">
        <v>0.3577981651376147</v>
      </c>
      <c r="T46" s="11">
        <v>6</v>
      </c>
      <c r="U46" s="112">
        <f t="shared" si="11"/>
        <v>1.834862385321101E-2</v>
      </c>
      <c r="V46" s="4">
        <v>5</v>
      </c>
      <c r="W46" s="112">
        <f t="shared" si="12"/>
        <v>1.5290519877675841E-2</v>
      </c>
      <c r="X46" s="4">
        <v>4</v>
      </c>
      <c r="Y46" s="126">
        <f t="shared" si="13"/>
        <v>1.2232415902140673E-2</v>
      </c>
    </row>
    <row r="47" spans="4:25" x14ac:dyDescent="0.2">
      <c r="D47" s="28" t="s">
        <v>0</v>
      </c>
      <c r="E47" s="9"/>
      <c r="F47" s="118">
        <f>SUM(F42:F46)</f>
        <v>8779</v>
      </c>
      <c r="G47" s="119">
        <f>SUM(G42:G46)</f>
        <v>1</v>
      </c>
      <c r="H47" s="9">
        <f>SUM(H42:H46)</f>
        <v>1190</v>
      </c>
      <c r="I47" s="105">
        <f>SUM(I42:I46)</f>
        <v>0.57746587873804234</v>
      </c>
      <c r="J47" s="9">
        <f>SUM(J42:J46)</f>
        <v>878</v>
      </c>
      <c r="K47" s="105">
        <f>SUM(K42:K46)</f>
        <v>0.42776246768089016</v>
      </c>
      <c r="L47" s="9">
        <f>SUM(L41:L46)</f>
        <v>732</v>
      </c>
      <c r="M47" s="105">
        <f>SUM(M42:M46)</f>
        <v>0.35598794518305027</v>
      </c>
      <c r="N47" s="12">
        <f>SUM(N41:N46)</f>
        <v>779</v>
      </c>
      <c r="O47" s="105">
        <f>SUM(O42:O46)</f>
        <v>0.37870038458854427</v>
      </c>
      <c r="P47" s="9">
        <f>SUM(P41:P46)</f>
        <v>653</v>
      </c>
      <c r="Q47" s="105">
        <f>SUM(Q42:Q46)</f>
        <v>0.31915602765863793</v>
      </c>
      <c r="R47" s="9">
        <f>SUM(R41:R46)</f>
        <v>517</v>
      </c>
      <c r="S47" s="128">
        <f>SUM(S42:S46)</f>
        <v>0.57981090311242245</v>
      </c>
      <c r="T47" s="12">
        <f>SUM(T41:T46)</f>
        <v>1124</v>
      </c>
      <c r="U47" s="105">
        <f>SUM(U42:U46)</f>
        <v>0.54617274878626443</v>
      </c>
      <c r="V47" s="9">
        <f>SUM(V41:V46)</f>
        <v>821</v>
      </c>
      <c r="W47" s="105">
        <f>SUM(W42:W46)</f>
        <v>0.40086796976806705</v>
      </c>
      <c r="X47" s="9">
        <f>SUM(X41:X46)</f>
        <v>656</v>
      </c>
      <c r="Y47" s="128">
        <f>SUM(Y42:Y46)</f>
        <v>0.32015762023007005</v>
      </c>
    </row>
  </sheetData>
  <mergeCells count="26">
    <mergeCell ref="T30:U30"/>
    <mergeCell ref="V30:W30"/>
    <mergeCell ref="X30:Y30"/>
    <mergeCell ref="F29:G29"/>
    <mergeCell ref="H29:M29"/>
    <mergeCell ref="N29:S29"/>
    <mergeCell ref="T29:Y29"/>
    <mergeCell ref="H30:I30"/>
    <mergeCell ref="J30:K30"/>
    <mergeCell ref="L30:M30"/>
    <mergeCell ref="N30:O30"/>
    <mergeCell ref="P30:Q30"/>
    <mergeCell ref="R30:S30"/>
    <mergeCell ref="R6:S6"/>
    <mergeCell ref="N5:S5"/>
    <mergeCell ref="T5:Y5"/>
    <mergeCell ref="T6:U6"/>
    <mergeCell ref="V6:W6"/>
    <mergeCell ref="X6:Y6"/>
    <mergeCell ref="H6:I6"/>
    <mergeCell ref="J6:K6"/>
    <mergeCell ref="L6:M6"/>
    <mergeCell ref="H5:M5"/>
    <mergeCell ref="N6:O6"/>
    <mergeCell ref="P6:Q6"/>
    <mergeCell ref="F5:G5"/>
  </mergeCells>
  <pageMargins left="0.7" right="0.7" top="0.75" bottom="0.75" header="0.3" footer="0.3"/>
  <ignoredErrors>
    <ignoredError sqref="O23:Q23 W23:X23 U23:V23 R23:T23 L23:N23 W47 U47 S47 Q47 O47 M47"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table1</vt:lpstr>
      <vt:lpstr>table2</vt:lpstr>
      <vt:lpstr>table4</vt:lpstr>
      <vt:lpstr>table3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Sullivan</dc:creator>
  <cp:lastModifiedBy>Sarah Sullivan</cp:lastModifiedBy>
  <dcterms:created xsi:type="dcterms:W3CDTF">2026-06-15T21:25:01Z</dcterms:created>
  <dcterms:modified xsi:type="dcterms:W3CDTF">2026-06-16T23:13:35Z</dcterms:modified>
</cp:coreProperties>
</file>